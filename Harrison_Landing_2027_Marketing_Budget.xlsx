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Summary" sheetId="1" state="visible" r:id="rId1"/>
    <sheet name="Inputs" sheetId="2" state="visible" r:id="rId2"/>
    <sheet name="Monthly Plan" sheetId="3" state="visible" r:id="rId3"/>
    <sheet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$#,##0;($#,##0);&quot;-&quot;"/>
    <numFmt numFmtId="166" formatCode="0.0%;(0.0%);&quot;-&quot;"/>
    <numFmt numFmtId="167" formatCode="#,##0.0;(#,##0.0);&quot;-&quot;"/>
    <numFmt numFmtId="168" formatCode="$#,##0.00;($#,##0.00);&quot;-&quot;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</font>
    <font>
      <name val="Arial"/>
      <b val="1"/>
    </font>
    <font>
      <name val="Arial"/>
    </font>
    <font>
      <name val="Arial"/>
      <color rgb="000000FF"/>
    </font>
    <font>
      <name val="Arial"/>
      <i val="1"/>
      <color rgb="00595959"/>
    </font>
    <font>
      <name val="Arial"/>
      <b val="1"/>
      <color rgb="00FFFFFF"/>
    </font>
    <font>
      <name val="Arial"/>
      <color rgb="00008000"/>
    </font>
    <font>
      <name val="Arial"/>
      <b val="1"/>
      <color rgb="00008000"/>
    </font>
    <font>
      <name val="Arial"/>
      <color rgb="0000000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top style="thin">
        <color rgb="00999999"/>
      </top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3" fillId="0" borderId="0" pivotButton="0" quotePrefix="0" xfId="0"/>
    <xf numFmtId="165" fontId="9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165" fontId="8" fillId="0" borderId="0" pivotButton="0" quotePrefix="0" xfId="0"/>
    <xf numFmtId="168" fontId="8" fillId="0" borderId="0" pivotButton="0" quotePrefix="0" xfId="0"/>
    <xf numFmtId="166" fontId="8" fillId="0" borderId="0" pivotButton="0" quotePrefix="0" xfId="0"/>
    <xf numFmtId="164" fontId="8" fillId="0" borderId="0" pivotButton="0" quotePrefix="0" xfId="0"/>
    <xf numFmtId="164" fontId="9" fillId="0" borderId="0" pivotButton="0" quotePrefix="0" xfId="0"/>
    <xf numFmtId="165" fontId="10" fillId="0" borderId="0" pivotButton="0" quotePrefix="0" xfId="0"/>
    <xf numFmtId="0" fontId="9" fillId="0" borderId="0" pivotButton="0" quotePrefix="0" xfId="0"/>
    <xf numFmtId="0" fontId="7" fillId="4" borderId="0" applyAlignment="1" pivotButton="0" quotePrefix="0" xfId="0">
      <alignment horizontal="center" vertical="center" wrapText="1"/>
    </xf>
    <xf numFmtId="0" fontId="8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1" pivotButton="0" quotePrefix="0" xfId="0"/>
    <xf numFmtId="165" fontId="3" fillId="0" borderId="1" pivotButton="0" quotePrefix="0" xfId="0"/>
    <xf numFmtId="0" fontId="0" fillId="0" borderId="1" pivotButton="0" quotePrefix="0" xfId="0"/>
    <xf numFmtId="166" fontId="3" fillId="0" borderId="1" pivotButton="0" quotePrefix="0" xfId="0"/>
    <xf numFmtId="0" fontId="5" fillId="3" borderId="0" pivotButton="0" quotePrefix="0" xfId="0"/>
    <xf numFmtId="0" fontId="5" fillId="0" borderId="0" pivotButton="0" quotePrefix="0" xfId="0"/>
    <xf numFmtId="164" fontId="5" fillId="3" borderId="0" pivotButton="0" quotePrefix="0" xfId="0"/>
    <xf numFmtId="165" fontId="5" fillId="3" borderId="0" pivotButton="0" quotePrefix="0" xfId="0"/>
    <xf numFmtId="166" fontId="5" fillId="3" borderId="0" pivotButton="0" quotePrefix="0" xfId="0"/>
    <xf numFmtId="166" fontId="3" fillId="0" borderId="0" pivotButton="0" quotePrefix="0" xfId="0"/>
    <xf numFmtId="167" fontId="4" fillId="0" borderId="0" pivotButton="0" quotePrefix="0" xfId="0"/>
    <xf numFmtId="167" fontId="3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5" fontId="3" fillId="0" borderId="0" pivotButton="0" quotePrefix="0" xfId="0"/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50" customWidth="1" min="5" max="5"/>
  </cols>
  <sheetData>
    <row r="1">
      <c r="A1" s="1">
        <f>"2027 Marketing Budget: "&amp;Inputs!$B$5</f>
        <v/>
      </c>
    </row>
    <row r="2">
      <c r="A2" s="2">
        <f>Inputs!$B$6&amp;" · "&amp;Inputs!$B$7&amp;" · "&amp;TEXT(Inputs!$B$9,"0")&amp;" units"</f>
        <v/>
      </c>
    </row>
    <row r="4">
      <c r="A4" s="3" t="inlineStr">
        <is>
          <t>Headline</t>
        </is>
      </c>
      <c r="B4" s="4" t="n"/>
      <c r="C4" s="4" t="n"/>
      <c r="D4" s="4" t="n"/>
      <c r="E4" s="4" t="n"/>
    </row>
    <row r="5">
      <c r="A5" s="5" t="inlineStr">
        <is>
          <t>Total 2027 marketing budget</t>
        </is>
      </c>
      <c r="B5" s="6">
        <f>'Monthly Plan'!$N$41</f>
        <v/>
      </c>
      <c r="E5" s="7" t="inlineStr"/>
    </row>
    <row r="6">
      <c r="A6" s="8" t="inlineStr">
        <is>
          <t>Budget per unit per year</t>
        </is>
      </c>
      <c r="B6" s="9">
        <f>IFERROR(B5/Inputs!$B$9,0)</f>
        <v/>
      </c>
      <c r="E6" s="7" t="inlineStr"/>
    </row>
    <row r="7">
      <c r="A7" s="8" t="inlineStr">
        <is>
          <t>Budget per unit per month</t>
        </is>
      </c>
      <c r="B7" s="10">
        <f>IFERROR(B5/Inputs!$B$9/12,0)</f>
        <v/>
      </c>
      <c r="E7" s="7" t="inlineStr"/>
    </row>
    <row r="8">
      <c r="A8" s="8" t="inlineStr">
        <is>
          <t>% of gross potential rent</t>
        </is>
      </c>
      <c r="B8" s="11">
        <f>IFERROR(B5/(Inputs!$B$9*Inputs!$B$10*12),0)</f>
        <v/>
      </c>
      <c r="E8" s="7" t="inlineStr">
        <is>
          <t>Many operators land ~1–3% of GPR</t>
        </is>
      </c>
    </row>
    <row r="10">
      <c r="A10" s="3" t="inlineStr">
        <is>
          <t>Lease demand</t>
        </is>
      </c>
      <c r="B10" s="4" t="n"/>
      <c r="C10" s="4" t="n"/>
      <c r="D10" s="4" t="n"/>
      <c r="E10" s="4" t="n"/>
    </row>
    <row r="11">
      <c r="A11" s="8" t="inlineStr">
        <is>
          <t>Leases expiring in 2027</t>
        </is>
      </c>
      <c r="B11" s="12">
        <f>'Monthly Plan'!$N$7</f>
        <v/>
      </c>
      <c r="E11" s="7" t="inlineStr"/>
    </row>
    <row r="12">
      <c r="A12" s="8" t="inlineStr">
        <is>
          <t>Renewals</t>
        </is>
      </c>
      <c r="B12" s="12">
        <f>'Monthly Plan'!$N$8</f>
        <v/>
      </c>
      <c r="E12" s="7" t="inlineStr"/>
    </row>
    <row r="13">
      <c r="A13" s="8" t="inlineStr">
        <is>
          <t>Move-outs (expirations + early terminations)</t>
        </is>
      </c>
      <c r="B13" s="12">
        <f>'Monthly Plan'!$N$9+'Monthly Plan'!$N$10</f>
        <v/>
      </c>
      <c r="E13" s="7" t="inlineStr"/>
    </row>
    <row r="14">
      <c r="A14" s="8" t="inlineStr">
        <is>
          <t>Implied annual turnover rate</t>
        </is>
      </c>
      <c r="B14" s="11">
        <f>IFERROR(B13/Inputs!$B$9,0)</f>
        <v/>
      </c>
      <c r="E14" s="7" t="inlineStr">
        <is>
          <t>Move-outs ÷ total units</t>
        </is>
      </c>
    </row>
    <row r="15">
      <c r="A15" s="5" t="inlineStr">
        <is>
          <t>New leases needed</t>
        </is>
      </c>
      <c r="B15" s="13">
        <f>'Monthly Plan'!$N$12</f>
        <v/>
      </c>
      <c r="E15" s="7" t="inlineStr"/>
    </row>
    <row r="16">
      <c r="A16" s="8" t="inlineStr">
        <is>
          <t>Lead-to-lease rate</t>
        </is>
      </c>
      <c r="B16" s="11">
        <f>Inputs!$B$26</f>
        <v/>
      </c>
      <c r="E16" s="7" t="inlineStr"/>
    </row>
    <row r="17">
      <c r="A17" s="5" t="inlineStr">
        <is>
          <t>Leads needed</t>
        </is>
      </c>
      <c r="B17" s="13">
        <f>'Monthly Plan'!$N$14</f>
        <v/>
      </c>
      <c r="E17" s="7" t="inlineStr"/>
    </row>
    <row r="18">
      <c r="A18" s="8" t="inlineStr">
        <is>
          <t>Tours needed</t>
        </is>
      </c>
      <c r="B18" s="12">
        <f>'Monthly Plan'!$N$15</f>
        <v/>
      </c>
      <c r="E18" s="7" t="inlineStr"/>
    </row>
    <row r="20">
      <c r="A20" s="3" t="inlineStr">
        <is>
          <t>Efficiency checks</t>
        </is>
      </c>
      <c r="B20" s="4" t="n"/>
      <c r="C20" s="4" t="n"/>
      <c r="D20" s="4" t="n"/>
      <c r="E20" s="4" t="n"/>
    </row>
    <row r="21">
      <c r="A21" s="8" t="inlineStr">
        <is>
          <t>Blended cost per lead</t>
        </is>
      </c>
      <c r="B21" s="10">
        <f>IFERROR('Monthly Plan'!$N$25/B17,0)</f>
        <v/>
      </c>
      <c r="E21" s="7" t="inlineStr">
        <is>
          <t>Channel spend ÷ leads</t>
        </is>
      </c>
    </row>
    <row r="22">
      <c r="A22" s="8" t="inlineStr">
        <is>
          <t>Cost per new lease (all-in)</t>
        </is>
      </c>
      <c r="B22" s="14">
        <f>IFERROR(B5/B15,0)</f>
        <v/>
      </c>
      <c r="E22" s="7" t="inlineStr">
        <is>
          <t>Total budget ÷ new leases</t>
        </is>
      </c>
    </row>
    <row r="23">
      <c r="A23" s="8" t="inlineStr">
        <is>
          <t>Cost per lease as % of one month's rent</t>
        </is>
      </c>
      <c r="B23" s="11">
        <f>IFERROR(B22/Inputs!$B$10,0)</f>
        <v/>
      </c>
      <c r="E23" s="7" t="inlineStr"/>
    </row>
    <row r="24">
      <c r="A24" s="5" t="inlineStr">
        <is>
          <t>Within cost-per-lease target?</t>
        </is>
      </c>
      <c r="B24" s="15">
        <f>IF(B23&lt;=Inputs!$B$30,"YES","OVER TARGET")</f>
        <v/>
      </c>
      <c r="E24" s="7" t="inlineStr"/>
    </row>
    <row r="26">
      <c r="A26" s="3" t="inlineStr">
        <is>
          <t>Why it pays: cost of vacancy</t>
        </is>
      </c>
      <c r="B26" s="4" t="n"/>
      <c r="C26" s="4" t="n"/>
      <c r="D26" s="4" t="n"/>
      <c r="E26" s="4" t="n"/>
    </row>
    <row r="27">
      <c r="A27" s="8" t="inlineStr">
        <is>
          <t>Projected 2027 vacancy loss from turns</t>
        </is>
      </c>
      <c r="B27" s="9">
        <f>B13*Inputs!$B$13*Inputs!$B$10/30</f>
        <v/>
      </c>
      <c r="E27" s="7" t="inlineStr">
        <is>
          <t>Move-outs × days vacant × daily rent</t>
        </is>
      </c>
    </row>
    <row r="28">
      <c r="A28" s="8" t="inlineStr">
        <is>
          <t>Value of cutting 1 vacant day per turn</t>
        </is>
      </c>
      <c r="B28" s="9">
        <f>B13*Inputs!$B$10/30</f>
        <v/>
      </c>
      <c r="E28" s="7" t="inlineStr">
        <is>
          <t>Use this to justify spend that speeds up leasing</t>
        </is>
      </c>
    </row>
    <row r="29">
      <c r="A29" s="8" t="inlineStr">
        <is>
          <t>Value of +5 pts renewal rate</t>
        </is>
      </c>
      <c r="B29" s="9">
        <f>B11*0.05*(Inputs!$B$13*Inputs!$B$10/30+IFERROR(B22,0))</f>
        <v/>
      </c>
      <c r="E29" s="7" t="inlineStr">
        <is>
          <t>Avoided vacancy + avoided acquisition cost</t>
        </is>
      </c>
    </row>
    <row r="31">
      <c r="A31" s="3" t="inlineStr">
        <is>
          <t>Budget by line item</t>
        </is>
      </c>
      <c r="B31" s="4" t="n"/>
      <c r="C31" s="4" t="n"/>
      <c r="D31" s="4" t="n"/>
      <c r="E31" s="4" t="n"/>
    </row>
    <row r="32">
      <c r="A32" s="16" t="inlineStr">
        <is>
          <t>Line item</t>
        </is>
      </c>
      <c r="B32" s="16" t="inlineStr">
        <is>
          <t>2027 Budget ($)</t>
        </is>
      </c>
      <c r="C32" s="16" t="inlineStr">
        <is>
          <t>2026 Actual ($)</t>
        </is>
      </c>
      <c r="D32" s="16" t="inlineStr">
        <is>
          <t>Variance ($)</t>
        </is>
      </c>
      <c r="E32" s="16" t="inlineStr">
        <is>
          <t>Share of budget</t>
        </is>
      </c>
    </row>
    <row r="33">
      <c r="A33" s="17">
        <f>Inputs!$A$50</f>
        <v/>
      </c>
      <c r="B33" s="9">
        <f>'Monthly Plan'!$N$18</f>
        <v/>
      </c>
      <c r="C33" s="9">
        <f>IF(Inputs!$F$50="","",Inputs!$F$50)</f>
        <v/>
      </c>
      <c r="D33" s="18">
        <f>IF(C33="","",B33-C33)</f>
        <v/>
      </c>
      <c r="E33" s="19">
        <f>IFERROR(B33/B5,0)</f>
        <v/>
      </c>
    </row>
    <row r="34">
      <c r="A34" s="17">
        <f>Inputs!$A$51</f>
        <v/>
      </c>
      <c r="B34" s="9">
        <f>'Monthly Plan'!$N$19</f>
        <v/>
      </c>
      <c r="C34" s="9">
        <f>IF(Inputs!$F$51="","",Inputs!$F$51)</f>
        <v/>
      </c>
      <c r="D34" s="18">
        <f>IF(C34="","",B34-C34)</f>
        <v/>
      </c>
      <c r="E34" s="19">
        <f>IFERROR(B34/B5,0)</f>
        <v/>
      </c>
    </row>
    <row r="35">
      <c r="A35" s="17">
        <f>Inputs!$A$52</f>
        <v/>
      </c>
      <c r="B35" s="9">
        <f>'Monthly Plan'!$N$20</f>
        <v/>
      </c>
      <c r="C35" s="9">
        <f>IF(Inputs!$F$52="","",Inputs!$F$52)</f>
        <v/>
      </c>
      <c r="D35" s="18">
        <f>IF(C35="","",B35-C35)</f>
        <v/>
      </c>
      <c r="E35" s="19">
        <f>IFERROR(B35/B5,0)</f>
        <v/>
      </c>
    </row>
    <row r="36">
      <c r="A36" s="17">
        <f>Inputs!$A$53</f>
        <v/>
      </c>
      <c r="B36" s="9">
        <f>'Monthly Plan'!$N$21</f>
        <v/>
      </c>
      <c r="C36" s="9">
        <f>IF(Inputs!$F$53="","",Inputs!$F$53)</f>
        <v/>
      </c>
      <c r="D36" s="18">
        <f>IF(C36="","",B36-C36)</f>
        <v/>
      </c>
      <c r="E36" s="19">
        <f>IFERROR(B36/B5,0)</f>
        <v/>
      </c>
    </row>
    <row r="37">
      <c r="A37" s="17">
        <f>Inputs!$A$54</f>
        <v/>
      </c>
      <c r="B37" s="9">
        <f>'Monthly Plan'!$N$22</f>
        <v/>
      </c>
      <c r="C37" s="9">
        <f>IF(Inputs!$F$54="","",Inputs!$F$54)</f>
        <v/>
      </c>
      <c r="D37" s="18">
        <f>IF(C37="","",B37-C37)</f>
        <v/>
      </c>
      <c r="E37" s="19">
        <f>IFERROR(B37/B5,0)</f>
        <v/>
      </c>
    </row>
    <row r="38">
      <c r="A38" s="17">
        <f>Inputs!$A$55</f>
        <v/>
      </c>
      <c r="B38" s="9">
        <f>'Monthly Plan'!$N$23</f>
        <v/>
      </c>
      <c r="C38" s="9">
        <f>IF(Inputs!$F$55="","",Inputs!$F$55)</f>
        <v/>
      </c>
      <c r="D38" s="18">
        <f>IF(C38="","",B38-C38)</f>
        <v/>
      </c>
      <c r="E38" s="19">
        <f>IFERROR(B38/B5,0)</f>
        <v/>
      </c>
    </row>
    <row r="39">
      <c r="A39" s="17">
        <f>Inputs!$A$56</f>
        <v/>
      </c>
      <c r="B39" s="9">
        <f>'Monthly Plan'!$N$24</f>
        <v/>
      </c>
      <c r="C39" s="9">
        <f>IF(Inputs!$F$56="","",Inputs!$F$56)</f>
        <v/>
      </c>
      <c r="D39" s="18">
        <f>IF(C39="","",B39-C39)</f>
        <v/>
      </c>
      <c r="E39" s="19">
        <f>IFERROR(B39/B5,0)</f>
        <v/>
      </c>
    </row>
    <row r="40">
      <c r="A40" s="8" t="inlineStr">
        <is>
          <t>Fixed, program &amp; retention costs</t>
        </is>
      </c>
      <c r="B40" s="9">
        <f>'Monthly Plan'!$N$37</f>
        <v/>
      </c>
      <c r="E40" s="19">
        <f>IFERROR(B40/B5,0)</f>
        <v/>
      </c>
    </row>
    <row r="41">
      <c r="A41" s="8" t="inlineStr">
        <is>
          <t>Contingency</t>
        </is>
      </c>
      <c r="B41" s="9">
        <f>'Monthly Plan'!$N$40</f>
        <v/>
      </c>
      <c r="E41" s="19">
        <f>IFERROR(B41/B5,0)</f>
        <v/>
      </c>
    </row>
    <row r="42">
      <c r="A42" s="20" t="inlineStr">
        <is>
          <t>Total</t>
        </is>
      </c>
      <c r="B42" s="21">
        <f>SUM(B33:B41)</f>
        <v/>
      </c>
      <c r="C42" s="22" t="n"/>
      <c r="D42" s="22" t="n"/>
      <c r="E42" s="23">
        <f>SUM(E33:E41)</f>
        <v/>
      </c>
    </row>
    <row r="44">
      <c r="A44" s="3" t="inlineStr">
        <is>
          <t>Input checks</t>
        </is>
      </c>
      <c r="B44" s="4" t="n"/>
      <c r="C44" s="4" t="n"/>
      <c r="D44" s="4" t="n"/>
      <c r="E44" s="4" t="n"/>
    </row>
    <row r="45">
      <c r="A45" s="8" t="inlineStr">
        <is>
          <t>Seasonality sums to 100%</t>
        </is>
      </c>
      <c r="B45" s="17">
        <f>Inputs!$C$46</f>
        <v/>
      </c>
    </row>
    <row r="46">
      <c r="A46" s="8" t="inlineStr">
        <is>
          <t>Channel lead mix sums to 100%</t>
        </is>
      </c>
      <c r="B46" s="17">
        <f>Inputs!$C$57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4" customWidth="1" min="3" max="3"/>
    <col width="16" customWidth="1" min="4" max="4"/>
    <col width="16" customWidth="1" min="5" max="5"/>
    <col width="16" customWidth="1" min="6" max="6"/>
    <col width="60" customWidth="1" min="7" max="7"/>
  </cols>
  <sheetData>
    <row r="1">
      <c r="A1" s="1" t="inlineStr">
        <is>
          <t>2027 Marketing Budget Model: Inputs</t>
        </is>
      </c>
    </row>
    <row r="2">
      <c r="A2" s="2" t="inlineStr">
        <is>
          <t>Yellow cells with blue text are inputs. Change them and every other tab recalculates.</t>
        </is>
      </c>
    </row>
    <row r="4">
      <c r="A4" s="3" t="inlineStr">
        <is>
          <t>Property profile</t>
        </is>
      </c>
      <c r="B4" s="4" t="n"/>
      <c r="C4" s="4" t="n"/>
      <c r="D4" s="4" t="n"/>
      <c r="E4" s="4" t="n"/>
      <c r="F4" s="4" t="n"/>
      <c r="G4" s="4" t="n"/>
    </row>
    <row r="5">
      <c r="A5" s="8" t="inlineStr">
        <is>
          <t>Property name</t>
        </is>
      </c>
      <c r="B5" s="24" t="inlineStr">
        <is>
          <t>Harrison Landing</t>
        </is>
      </c>
      <c r="C5" s="8" t="inlineStr"/>
      <c r="G5" s="7" t="inlineStr">
        <is>
          <t>From Property List (Haven Homes)</t>
        </is>
      </c>
    </row>
    <row r="6">
      <c r="A6" s="8" t="inlineStr">
        <is>
          <t>Portfolio</t>
        </is>
      </c>
      <c r="B6" s="25" t="inlineStr">
        <is>
          <t>Haven Homes</t>
        </is>
      </c>
      <c r="C6" s="8" t="inlineStr"/>
      <c r="G6" s="7" t="inlineStr"/>
    </row>
    <row r="7">
      <c r="A7" s="8" t="inlineStr">
        <is>
          <t>Location</t>
        </is>
      </c>
      <c r="B7" s="25" t="inlineStr">
        <is>
          <t>Simpsonville, SC (Greenville Co.)</t>
        </is>
      </c>
      <c r="C7" s="8" t="inlineStr"/>
      <c r="G7" s="7" t="inlineStr">
        <is>
          <t>From Property List</t>
        </is>
      </c>
    </row>
    <row r="8">
      <c r="A8" s="8" t="inlineStr">
        <is>
          <t>Property type / ownership</t>
        </is>
      </c>
      <c r="B8" s="25" t="inlineStr">
        <is>
          <t>Townhome / Owned-Managed</t>
        </is>
      </c>
      <c r="C8" s="8" t="inlineStr"/>
      <c r="G8" s="7" t="inlineStr"/>
    </row>
    <row r="9">
      <c r="A9" s="8" t="inlineStr">
        <is>
          <t>Total units</t>
        </is>
      </c>
      <c r="B9" s="26" t="n">
        <v>166</v>
      </c>
      <c r="C9" s="8" t="inlineStr">
        <is>
          <t>units</t>
        </is>
      </c>
      <c r="G9" s="7" t="inlineStr">
        <is>
          <t>From Property List</t>
        </is>
      </c>
    </row>
    <row r="10">
      <c r="A10" s="8" t="inlineStr">
        <is>
          <t>Average monthly rent</t>
        </is>
      </c>
      <c r="B10" s="27" t="n">
        <v>2100</v>
      </c>
      <c r="C10" s="8" t="inlineStr">
        <is>
          <t>$/mo</t>
        </is>
      </c>
      <c r="G10" s="7" t="inlineStr">
        <is>
          <t>PLACEHOLDER: replace with rent roll average</t>
        </is>
      </c>
    </row>
    <row r="11">
      <c r="A11" s="8" t="inlineStr">
        <is>
          <t>Current occupancy</t>
        </is>
      </c>
      <c r="B11" s="28" t="n">
        <v>0.95</v>
      </c>
      <c r="C11" s="8" t="inlineStr">
        <is>
          <t>%</t>
        </is>
      </c>
      <c r="G11" s="7" t="inlineStr">
        <is>
          <t>PLACEHOLDER: current physical occupancy from PMS</t>
        </is>
      </c>
    </row>
    <row r="12">
      <c r="A12" s="8" t="inlineStr">
        <is>
          <t>Target occupancy (end of 2027)</t>
        </is>
      </c>
      <c r="B12" s="28" t="n">
        <v>0.96</v>
      </c>
      <c r="C12" s="8" t="inlineStr">
        <is>
          <t>%</t>
        </is>
      </c>
      <c r="G12" s="7" t="inlineStr">
        <is>
          <t>PLACEHOLDER: owner/asset mgmt target</t>
        </is>
      </c>
    </row>
    <row r="13">
      <c r="A13" s="8" t="inlineStr">
        <is>
          <t>Average days vacant per turn</t>
        </is>
      </c>
      <c r="B13" s="26" t="n">
        <v>30</v>
      </c>
      <c r="C13" s="8" t="inlineStr">
        <is>
          <t>days</t>
        </is>
      </c>
      <c r="G13" s="7" t="inlineStr">
        <is>
          <t>PLACEHOLDER: move-out to move-in, from PMS turn report</t>
        </is>
      </c>
    </row>
    <row r="15">
      <c r="A15" s="3" t="inlineStr">
        <is>
          <t>Lease expirations &amp; retention</t>
        </is>
      </c>
      <c r="B15" s="4" t="n"/>
      <c r="C15" s="4" t="n"/>
      <c r="D15" s="4" t="n"/>
      <c r="E15" s="4" t="n"/>
      <c r="F15" s="4" t="n"/>
      <c r="G15" s="4" t="n"/>
    </row>
    <row r="16">
      <c r="A16" s="8" t="inlineStr">
        <is>
          <t>% of occupied leases expiring in 2027</t>
        </is>
      </c>
      <c r="B16" s="28" t="n">
        <v>0.95</v>
      </c>
      <c r="C16" s="8" t="inlineStr">
        <is>
          <t>%</t>
        </is>
      </c>
      <c r="G16" s="7" t="inlineStr">
        <is>
          <t>PLACEHOLDER: count 2027 expirations in lease expiration report ÷ occupied units</t>
        </is>
      </c>
    </row>
    <row r="17">
      <c r="A17" s="8" t="inlineStr">
        <is>
          <t>Renewal rate (of expiring leases)</t>
        </is>
      </c>
      <c r="B17" s="28" t="n">
        <v>0.55</v>
      </c>
      <c r="C17" s="8" t="inlineStr">
        <is>
          <t>%</t>
        </is>
      </c>
      <c r="G17" s="7" t="inlineStr">
        <is>
          <t>PLACEHOLDER: 2026 YTD renewals ÷ expirations</t>
        </is>
      </c>
    </row>
    <row r="18">
      <c r="A18" s="8" t="inlineStr">
        <is>
          <t>Early terminations / skips (% of units per year)</t>
        </is>
      </c>
      <c r="B18" s="28" t="n">
        <v>0.03</v>
      </c>
      <c r="C18" s="8" t="inlineStr">
        <is>
          <t>%</t>
        </is>
      </c>
      <c r="G18" s="7" t="inlineStr">
        <is>
          <t>PLACEHOLDER: breaks, skips, evictions, transfers out</t>
        </is>
      </c>
    </row>
    <row r="19">
      <c r="A19" s="8" t="inlineStr">
        <is>
          <t>Renewal incentive per renewal</t>
        </is>
      </c>
      <c r="B19" s="27" t="n">
        <v>100</v>
      </c>
      <c r="C19" s="8" t="inlineStr">
        <is>
          <t>$</t>
        </is>
      </c>
      <c r="G19" s="7" t="inlineStr">
        <is>
          <t>PLACEHOLDER: gift card / upgrade offered to renew; enter 0 if none</t>
        </is>
      </c>
    </row>
    <row r="21">
      <c r="A21" s="3" t="inlineStr">
        <is>
          <t>Leasing funnel (conversion rates)</t>
        </is>
      </c>
      <c r="B21" s="4" t="n"/>
      <c r="C21" s="4" t="n"/>
      <c r="D21" s="4" t="n"/>
      <c r="E21" s="4" t="n"/>
      <c r="F21" s="4" t="n"/>
      <c r="G21" s="4" t="n"/>
    </row>
    <row r="22">
      <c r="A22" s="8" t="inlineStr">
        <is>
          <t>Lead → tour</t>
        </is>
      </c>
      <c r="B22" s="28" t="n">
        <v>0.25</v>
      </c>
      <c r="C22" s="8" t="inlineStr">
        <is>
          <t>%</t>
        </is>
      </c>
      <c r="G22" s="7" t="inlineStr">
        <is>
          <t>PLACEHOLDER: pull from CRM funnel report</t>
        </is>
      </c>
    </row>
    <row r="23">
      <c r="A23" s="8" t="inlineStr">
        <is>
          <t>Tour → application</t>
        </is>
      </c>
      <c r="B23" s="28" t="n">
        <v>0.35</v>
      </c>
      <c r="C23" s="8" t="inlineStr">
        <is>
          <t>%</t>
        </is>
      </c>
      <c r="G23" s="7" t="inlineStr">
        <is>
          <t>PLACEHOLDER: includes self-guided tours</t>
        </is>
      </c>
    </row>
    <row r="24">
      <c r="A24" s="8" t="inlineStr">
        <is>
          <t>Application → approval</t>
        </is>
      </c>
      <c r="B24" s="28" t="n">
        <v>0.7</v>
      </c>
      <c r="C24" s="8" t="inlineStr">
        <is>
          <t>%</t>
        </is>
      </c>
      <c r="G24" s="7" t="inlineStr">
        <is>
          <t>PLACEHOLDER: screening approval rate</t>
        </is>
      </c>
    </row>
    <row r="25">
      <c r="A25" s="8" t="inlineStr">
        <is>
          <t>Approval → signed lease</t>
        </is>
      </c>
      <c r="B25" s="28" t="n">
        <v>0.9</v>
      </c>
      <c r="C25" s="8" t="inlineStr">
        <is>
          <t>%</t>
        </is>
      </c>
      <c r="G25" s="7" t="inlineStr">
        <is>
          <t>PLACEHOLDER: approved applicants who sign</t>
        </is>
      </c>
    </row>
    <row r="26">
      <c r="A26" s="5" t="inlineStr">
        <is>
          <t>Lead-to-lease rate (calculated)</t>
        </is>
      </c>
      <c r="B26" s="29">
        <f>Inputs!$B$22*Inputs!$B$23*Inputs!$B$24*Inputs!$B$25</f>
        <v/>
      </c>
      <c r="G26" s="7" t="inlineStr">
        <is>
          <t>Industry range is often ~3–8%; your real number matters most</t>
        </is>
      </c>
    </row>
    <row r="28">
      <c r="A28" s="3" t="inlineStr">
        <is>
          <t>Budget guardrails</t>
        </is>
      </c>
      <c r="B28" s="4" t="n"/>
      <c r="C28" s="4" t="n"/>
      <c r="D28" s="4" t="n"/>
      <c r="E28" s="4" t="n"/>
      <c r="F28" s="4" t="n"/>
      <c r="G28" s="4" t="n"/>
    </row>
    <row r="29">
      <c r="A29" s="8" t="inlineStr">
        <is>
          <t>Contingency / reserve</t>
        </is>
      </c>
      <c r="B29" s="28" t="n">
        <v>0.1</v>
      </c>
      <c r="C29" s="8" t="inlineStr">
        <is>
          <t>%</t>
        </is>
      </c>
      <c r="G29" s="7" t="inlineStr">
        <is>
          <t>Cushion for slow months, price hikes, surprise vacancies</t>
        </is>
      </c>
    </row>
    <row r="30">
      <c r="A30" s="8" t="inlineStr">
        <is>
          <t>Target max cost per lease (% of one month's rent)</t>
        </is>
      </c>
      <c r="B30" s="28" t="n">
        <v>0.5</v>
      </c>
      <c r="C30" s="8" t="inlineStr">
        <is>
          <t>%</t>
        </is>
      </c>
      <c r="G30" s="7" t="inlineStr">
        <is>
          <t>Common rule of thumb: keep acquisition cost under ~½ month's rent</t>
        </is>
      </c>
    </row>
    <row r="32">
      <c r="A32" s="3" t="inlineStr">
        <is>
          <t>Lease expiration seasonality (% of 2027 expirations by month)</t>
        </is>
      </c>
      <c r="B32" s="4" t="n"/>
      <c r="C32" s="4" t="n"/>
      <c r="D32" s="4" t="n"/>
      <c r="E32" s="4" t="n"/>
      <c r="F32" s="4" t="n"/>
      <c r="G32" s="4" t="n"/>
    </row>
    <row r="33">
      <c r="A33" s="16" t="inlineStr">
        <is>
          <t>Month</t>
        </is>
      </c>
      <c r="B33" s="16" t="inlineStr">
        <is>
          <t>% of expirations</t>
        </is>
      </c>
      <c r="C33" s="16" t="inlineStr"/>
      <c r="D33" s="16" t="inlineStr"/>
      <c r="E33" s="16" t="inlineStr"/>
      <c r="F33" s="16" t="inlineStr"/>
      <c r="G33" s="16" t="inlineStr">
        <is>
          <t>Notes</t>
        </is>
      </c>
    </row>
    <row r="34">
      <c r="A34" s="8" t="inlineStr">
        <is>
          <t>Jan</t>
        </is>
      </c>
      <c r="B34" s="28" t="n">
        <v>0.05</v>
      </c>
      <c r="G34" s="7" t="inlineStr">
        <is>
          <t>PLACEHOLDER curve (summer-heavy). Replace with actual 2027 expiration counts by month.</t>
        </is>
      </c>
    </row>
    <row r="35">
      <c r="A35" s="8" t="inlineStr">
        <is>
          <t>Feb</t>
        </is>
      </c>
      <c r="B35" s="28" t="n">
        <v>0.05</v>
      </c>
    </row>
    <row r="36">
      <c r="A36" s="8" t="inlineStr">
        <is>
          <t>Mar</t>
        </is>
      </c>
      <c r="B36" s="28" t="n">
        <v>0.07000000000000001</v>
      </c>
    </row>
    <row r="37">
      <c r="A37" s="8" t="inlineStr">
        <is>
          <t>Apr</t>
        </is>
      </c>
      <c r="B37" s="28" t="n">
        <v>0.09</v>
      </c>
    </row>
    <row r="38">
      <c r="A38" s="8" t="inlineStr">
        <is>
          <t>May</t>
        </is>
      </c>
      <c r="B38" s="28" t="n">
        <v>0.11</v>
      </c>
    </row>
    <row r="39">
      <c r="A39" s="8" t="inlineStr">
        <is>
          <t>Jun</t>
        </is>
      </c>
      <c r="B39" s="28" t="n">
        <v>0.13</v>
      </c>
    </row>
    <row r="40">
      <c r="A40" s="8" t="inlineStr">
        <is>
          <t>Jul</t>
        </is>
      </c>
      <c r="B40" s="28" t="n">
        <v>0.13</v>
      </c>
    </row>
    <row r="41">
      <c r="A41" s="8" t="inlineStr">
        <is>
          <t>Aug</t>
        </is>
      </c>
      <c r="B41" s="28" t="n">
        <v>0.11</v>
      </c>
    </row>
    <row r="42">
      <c r="A42" s="8" t="inlineStr">
        <is>
          <t>Sep</t>
        </is>
      </c>
      <c r="B42" s="28" t="n">
        <v>0.08</v>
      </c>
    </row>
    <row r="43">
      <c r="A43" s="8" t="inlineStr">
        <is>
          <t>Oct</t>
        </is>
      </c>
      <c r="B43" s="28" t="n">
        <v>0.07000000000000001</v>
      </c>
    </row>
    <row r="44">
      <c r="A44" s="8" t="inlineStr">
        <is>
          <t>Nov</t>
        </is>
      </c>
      <c r="B44" s="28" t="n">
        <v>0.06</v>
      </c>
    </row>
    <row r="45">
      <c r="A45" s="8" t="inlineStr">
        <is>
          <t>Dec</t>
        </is>
      </c>
      <c r="B45" s="28" t="n">
        <v>0.05</v>
      </c>
    </row>
    <row r="46">
      <c r="A46" s="5" t="inlineStr">
        <is>
          <t>Total (must = 100%)</t>
        </is>
      </c>
      <c r="B46" s="29">
        <f>SUM(B34:B45)</f>
        <v/>
      </c>
      <c r="C46" s="5">
        <f>IF(ROUND(B46,4)=1,"OK","CHECK")</f>
        <v/>
      </c>
    </row>
    <row r="48">
      <c r="A48" s="3" t="inlineStr">
        <is>
          <t>Lead channels</t>
        </is>
      </c>
      <c r="B48" s="4" t="n"/>
      <c r="C48" s="4" t="n"/>
      <c r="D48" s="4" t="n"/>
      <c r="E48" s="4" t="n"/>
      <c r="F48" s="4" t="n"/>
      <c r="G48" s="4" t="n"/>
    </row>
    <row r="49">
      <c r="A49" s="16" t="inlineStr">
        <is>
          <t>Channel</t>
        </is>
      </c>
      <c r="B49" s="16" t="inlineStr">
        <is>
          <t>% of leads</t>
        </is>
      </c>
      <c r="C49" s="16" t="inlineStr">
        <is>
          <t>Cost per lead ($)</t>
        </is>
      </c>
      <c r="D49" s="16" t="inlineStr">
        <is>
          <t>Fixed monthly fee ($)</t>
        </is>
      </c>
      <c r="E49" s="16" t="inlineStr">
        <is>
          <t>Cost per signed lease ($)</t>
        </is>
      </c>
      <c r="F49" s="16" t="inlineStr">
        <is>
          <t>2026 actual spend ($)</t>
        </is>
      </c>
      <c r="G49" s="16" t="inlineStr">
        <is>
          <t>Notes</t>
        </is>
      </c>
    </row>
    <row r="50">
      <c r="A50" s="24" t="inlineStr">
        <is>
          <t>Zillow Rentals</t>
        </is>
      </c>
      <c r="B50" s="28" t="n">
        <v>0.3</v>
      </c>
      <c r="C50" s="27" t="n">
        <v>25</v>
      </c>
      <c r="D50" s="27" t="n">
        <v>0</v>
      </c>
      <c r="E50" s="27" t="n">
        <v>0</v>
      </c>
      <c r="F50" s="27" t="n"/>
      <c r="G50" s="7" t="inlineStr">
        <is>
          <t>PLACEHOLDER: check your Zillow contract (per-lead vs. flat)</t>
        </is>
      </c>
    </row>
    <row r="51">
      <c r="A51" s="24" t="inlineStr">
        <is>
          <t>Apartments.com / CoStar network</t>
        </is>
      </c>
      <c r="B51" s="28" t="n">
        <v>0.2</v>
      </c>
      <c r="C51" s="27" t="n">
        <v>0</v>
      </c>
      <c r="D51" s="27" t="n">
        <v>1200</v>
      </c>
      <c r="E51" s="27" t="n">
        <v>0</v>
      </c>
      <c r="F51" s="27" t="n"/>
      <c r="G51" s="7" t="inlineStr">
        <is>
          <t>PLACEHOLDER: flat package; confirm 2027 renewal price</t>
        </is>
      </c>
    </row>
    <row r="52">
      <c r="A52" s="24" t="inlineStr">
        <is>
          <t>Google paid search</t>
        </is>
      </c>
      <c r="B52" s="28" t="n">
        <v>0.15</v>
      </c>
      <c r="C52" s="27" t="n">
        <v>35</v>
      </c>
      <c r="D52" s="27" t="n">
        <v>0</v>
      </c>
      <c r="E52" s="27" t="n">
        <v>0</v>
      </c>
      <c r="F52" s="27" t="n"/>
      <c r="G52" s="7" t="inlineStr">
        <is>
          <t>PLACEHOLDER: brand + 'townhomes for rent Simpsonville'</t>
        </is>
      </c>
    </row>
    <row r="53">
      <c r="A53" s="24" t="inlineStr">
        <is>
          <t>Paid social (Meta)</t>
        </is>
      </c>
      <c r="B53" s="28" t="n">
        <v>0.1</v>
      </c>
      <c r="C53" s="27" t="n">
        <v>20</v>
      </c>
      <c r="D53" s="27" t="n">
        <v>0</v>
      </c>
      <c r="E53" s="27" t="n">
        <v>0</v>
      </c>
      <c r="F53" s="27" t="n"/>
      <c r="G53" s="7" t="inlineStr">
        <is>
          <t>PLACEHOLDER</t>
        </is>
      </c>
    </row>
    <row r="54">
      <c r="A54" s="24" t="inlineStr">
        <is>
          <t>Website / SEO (organic)</t>
        </is>
      </c>
      <c r="B54" s="28" t="n">
        <v>0.1</v>
      </c>
      <c r="C54" s="27" t="n">
        <v>0</v>
      </c>
      <c r="D54" s="27" t="n">
        <v>0</v>
      </c>
      <c r="E54" s="27" t="n">
        <v>0</v>
      </c>
      <c r="F54" s="27" t="n"/>
      <c r="G54" s="7" t="inlineStr">
        <is>
          <t>Website cost lives in fixed costs below</t>
        </is>
      </c>
    </row>
    <row r="55">
      <c r="A55" s="24" t="inlineStr">
        <is>
          <t>Resident referrals</t>
        </is>
      </c>
      <c r="B55" s="28" t="n">
        <v>0.05</v>
      </c>
      <c r="C55" s="27" t="n">
        <v>0</v>
      </c>
      <c r="D55" s="27" t="n">
        <v>0</v>
      </c>
      <c r="E55" s="27" t="n">
        <v>300</v>
      </c>
      <c r="F55" s="27" t="n"/>
      <c r="G55" s="7" t="inlineStr">
        <is>
          <t>PLACEHOLDER: referral bonus paid per signed lease</t>
        </is>
      </c>
    </row>
    <row r="56">
      <c r="A56" s="24" t="inlineStr">
        <is>
          <t>Signage / drive-by / walk-in</t>
        </is>
      </c>
      <c r="B56" s="28" t="n">
        <v>0.1</v>
      </c>
      <c r="C56" s="27" t="n">
        <v>0</v>
      </c>
      <c r="D56" s="27" t="n">
        <v>0</v>
      </c>
      <c r="E56" s="27" t="n">
        <v>0</v>
      </c>
      <c r="F56" s="27" t="n"/>
      <c r="G56" s="7" t="inlineStr">
        <is>
          <t>Signage cost lives in fixed costs below</t>
        </is>
      </c>
    </row>
    <row r="57">
      <c r="A57" s="5" t="inlineStr">
        <is>
          <t>Total (must = 100%)</t>
        </is>
      </c>
      <c r="B57" s="29">
        <f>SUM(B50:B56)</f>
        <v/>
      </c>
      <c r="C57" s="5">
        <f>IF(ROUND(B57,4)=1,"OK","CHECK")</f>
        <v/>
      </c>
    </row>
    <row r="58">
      <c r="A58" s="7" t="inlineStr">
        <is>
          <t>Leave 2026 actual blank if unknown; the Summary tab will skip the variance.</t>
        </is>
      </c>
    </row>
    <row r="60">
      <c r="A60" s="3" t="inlineStr">
        <is>
          <t>Fixed &amp; program costs (property-level)</t>
        </is>
      </c>
      <c r="B60" s="4" t="n"/>
      <c r="C60" s="4" t="n"/>
      <c r="D60" s="4" t="n"/>
      <c r="E60" s="4" t="n"/>
      <c r="F60" s="4" t="n"/>
      <c r="G60" s="4" t="n"/>
    </row>
    <row r="61">
      <c r="A61" s="16" t="inlineStr">
        <is>
          <t>Item</t>
        </is>
      </c>
      <c r="B61" s="16" t="inlineStr">
        <is>
          <t>Monthly ($)</t>
        </is>
      </c>
      <c r="C61" s="16" t="inlineStr">
        <is>
          <t>One-time / annual ($)</t>
        </is>
      </c>
      <c r="D61" s="16" t="inlineStr"/>
      <c r="E61" s="16" t="inlineStr"/>
      <c r="F61" s="16" t="inlineStr"/>
      <c r="G61" s="16" t="inlineStr">
        <is>
          <t>Notes</t>
        </is>
      </c>
    </row>
    <row r="62">
      <c r="A62" s="24" t="inlineStr">
        <is>
          <t>CRM / lead management (allocated)</t>
        </is>
      </c>
      <c r="B62" s="27" t="n">
        <v>250</v>
      </c>
      <c r="C62" s="27" t="n">
        <v>0</v>
      </c>
      <c r="G62" s="7" t="inlineStr">
        <is>
          <t>PLACEHOLDER: e.g. ~$1.50/unit/mo</t>
        </is>
      </c>
    </row>
    <row r="63">
      <c r="A63" s="24" t="inlineStr">
        <is>
          <t>AI leasing assistant / chat</t>
        </is>
      </c>
      <c r="B63" s="27" t="n">
        <v>166</v>
      </c>
      <c r="C63" s="27" t="n">
        <v>0</v>
      </c>
      <c r="G63" s="7" t="inlineStr">
        <is>
          <t>PLACEHOLDER: e.g. ~$1/unit/mo</t>
        </is>
      </c>
    </row>
    <row r="64">
      <c r="A64" s="24" t="inlineStr">
        <is>
          <t>Reputation management / review software</t>
        </is>
      </c>
      <c r="B64" s="27" t="n">
        <v>150</v>
      </c>
      <c r="C64" s="27" t="n">
        <v>0</v>
      </c>
      <c r="G64" s="7" t="inlineStr">
        <is>
          <t>PLACEHOLDER</t>
        </is>
      </c>
    </row>
    <row r="65">
      <c r="A65" s="24" t="inlineStr">
        <is>
          <t>Website hosting &amp; maintenance</t>
        </is>
      </c>
      <c r="B65" s="27" t="n">
        <v>100</v>
      </c>
      <c r="C65" s="27" t="n">
        <v>0</v>
      </c>
      <c r="G65" s="7" t="inlineStr">
        <is>
          <t>PLACEHOLDER</t>
        </is>
      </c>
    </row>
    <row r="66">
      <c r="A66" s="24" t="inlineStr">
        <is>
          <t>Photography / video / virtual tour refresh</t>
        </is>
      </c>
      <c r="B66" s="27" t="n">
        <v>0</v>
      </c>
      <c r="C66" s="27" t="n">
        <v>1500</v>
      </c>
      <c r="G66" s="7" t="inlineStr">
        <is>
          <t>PLACEHOLDER: one-time 2027 refresh</t>
        </is>
      </c>
    </row>
    <row r="67">
      <c r="A67" s="24" t="inlineStr">
        <is>
          <t>Signage &amp; banners</t>
        </is>
      </c>
      <c r="B67" s="27" t="n">
        <v>0</v>
      </c>
      <c r="C67" s="27" t="n">
        <v>1000</v>
      </c>
      <c r="G67" s="7" t="inlineStr">
        <is>
          <t>PLACEHOLDER</t>
        </is>
      </c>
    </row>
    <row r="68">
      <c r="A68" s="24" t="inlineStr">
        <is>
          <t>Print collateral</t>
        </is>
      </c>
      <c r="B68" s="27" t="n">
        <v>0</v>
      </c>
      <c r="C68" s="27" t="n">
        <v>300</v>
      </c>
      <c r="G68" s="7" t="inlineStr">
        <is>
          <t>PLACEHOLDER</t>
        </is>
      </c>
    </row>
    <row r="69">
      <c r="A69" s="24" t="inlineStr">
        <is>
          <t>Resident events &amp; retention</t>
        </is>
      </c>
      <c r="B69" s="27" t="n">
        <v>0</v>
      </c>
      <c r="C69" s="27" t="n">
        <v>3000</v>
      </c>
      <c r="G69" s="7" t="inlineStr">
        <is>
          <t>PLACEHOLDER: ~4 events/yr; retention is cheaper than replacement</t>
        </is>
      </c>
    </row>
    <row r="70">
      <c r="A70" s="24" t="inlineStr">
        <is>
          <t>Freelance / agency support</t>
        </is>
      </c>
      <c r="B70" s="27" t="n">
        <v>0</v>
      </c>
      <c r="C70" s="27" t="n">
        <v>0</v>
      </c>
      <c r="G70" s="7" t="inlineStr">
        <is>
          <t>Optional: outsourced help for a one-person team</t>
        </is>
      </c>
    </row>
    <row r="71">
      <c r="G71" s="7" t="inlineStr">
        <is>
          <t>One-time / annual amounts are spread evenly across 12 months in the Monthly Plan.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>
        <f>"2027 Monthly Lease Demand &amp; Spend: "&amp;Inputs!$B$5</f>
        <v/>
      </c>
    </row>
    <row r="2">
      <c r="A2" s="2" t="inlineStr">
        <is>
          <t>All cells are formulas driven by the Inputs tab. Assumes leads are generated in the same month as the lease need.</t>
        </is>
      </c>
    </row>
    <row r="4">
      <c r="A4" s="16" t="inlineStr">
        <is>
          <t>Line item</t>
        </is>
      </c>
      <c r="B4" s="16" t="inlineStr">
        <is>
          <t>Jan</t>
        </is>
      </c>
      <c r="C4" s="16" t="inlineStr">
        <is>
          <t>Feb</t>
        </is>
      </c>
      <c r="D4" s="16" t="inlineStr">
        <is>
          <t>Mar</t>
        </is>
      </c>
      <c r="E4" s="16" t="inlineStr">
        <is>
          <t>Apr</t>
        </is>
      </c>
      <c r="F4" s="16" t="inlineStr">
        <is>
          <t>May</t>
        </is>
      </c>
      <c r="G4" s="16" t="inlineStr">
        <is>
          <t>Jun</t>
        </is>
      </c>
      <c r="H4" s="16" t="inlineStr">
        <is>
          <t>Jul</t>
        </is>
      </c>
      <c r="I4" s="16" t="inlineStr">
        <is>
          <t>Aug</t>
        </is>
      </c>
      <c r="J4" s="16" t="inlineStr">
        <is>
          <t>Sep</t>
        </is>
      </c>
      <c r="K4" s="16" t="inlineStr">
        <is>
          <t>Oct</t>
        </is>
      </c>
      <c r="L4" s="16" t="inlineStr">
        <is>
          <t>Nov</t>
        </is>
      </c>
      <c r="M4" s="16" t="inlineStr">
        <is>
          <t>Dec</t>
        </is>
      </c>
      <c r="N4" s="16" t="inlineStr">
        <is>
          <t>2027 Total</t>
        </is>
      </c>
    </row>
    <row r="5">
      <c r="A5" s="3" t="inlineStr">
        <is>
          <t>Lease demand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8" t="inlineStr">
        <is>
          <t>Expiration seasonality</t>
        </is>
      </c>
      <c r="B6" s="11">
        <f>Inputs!$B$34</f>
        <v/>
      </c>
      <c r="C6" s="11">
        <f>Inputs!$B$35</f>
        <v/>
      </c>
      <c r="D6" s="11">
        <f>Inputs!$B$36</f>
        <v/>
      </c>
      <c r="E6" s="11">
        <f>Inputs!$B$37</f>
        <v/>
      </c>
      <c r="F6" s="11">
        <f>Inputs!$B$38</f>
        <v/>
      </c>
      <c r="G6" s="11">
        <f>Inputs!$B$39</f>
        <v/>
      </c>
      <c r="H6" s="11">
        <f>Inputs!$B$40</f>
        <v/>
      </c>
      <c r="I6" s="11">
        <f>Inputs!$B$41</f>
        <v/>
      </c>
      <c r="J6" s="11">
        <f>Inputs!$B$42</f>
        <v/>
      </c>
      <c r="K6" s="11">
        <f>Inputs!$B$43</f>
        <v/>
      </c>
      <c r="L6" s="11">
        <f>Inputs!$B$44</f>
        <v/>
      </c>
      <c r="M6" s="11">
        <f>Inputs!$B$45</f>
        <v/>
      </c>
      <c r="N6" s="29">
        <f>SUM(B6:M6)</f>
        <v/>
      </c>
    </row>
    <row r="7">
      <c r="A7" s="8" t="inlineStr">
        <is>
          <t>Leases expiring</t>
        </is>
      </c>
      <c r="B7" s="30">
        <f>(Inputs!$B$9*Inputs!$B$11*Inputs!$B$16)*B6</f>
        <v/>
      </c>
      <c r="C7" s="30">
        <f>(Inputs!$B$9*Inputs!$B$11*Inputs!$B$16)*C6</f>
        <v/>
      </c>
      <c r="D7" s="30">
        <f>(Inputs!$B$9*Inputs!$B$11*Inputs!$B$16)*D6</f>
        <v/>
      </c>
      <c r="E7" s="30">
        <f>(Inputs!$B$9*Inputs!$B$11*Inputs!$B$16)*E6</f>
        <v/>
      </c>
      <c r="F7" s="30">
        <f>(Inputs!$B$9*Inputs!$B$11*Inputs!$B$16)*F6</f>
        <v/>
      </c>
      <c r="G7" s="30">
        <f>(Inputs!$B$9*Inputs!$B$11*Inputs!$B$16)*G6</f>
        <v/>
      </c>
      <c r="H7" s="30">
        <f>(Inputs!$B$9*Inputs!$B$11*Inputs!$B$16)*H6</f>
        <v/>
      </c>
      <c r="I7" s="30">
        <f>(Inputs!$B$9*Inputs!$B$11*Inputs!$B$16)*I6</f>
        <v/>
      </c>
      <c r="J7" s="30">
        <f>(Inputs!$B$9*Inputs!$B$11*Inputs!$B$16)*J6</f>
        <v/>
      </c>
      <c r="K7" s="30">
        <f>(Inputs!$B$9*Inputs!$B$11*Inputs!$B$16)*K6</f>
        <v/>
      </c>
      <c r="L7" s="30">
        <f>(Inputs!$B$9*Inputs!$B$11*Inputs!$B$16)*L6</f>
        <v/>
      </c>
      <c r="M7" s="30">
        <f>(Inputs!$B$9*Inputs!$B$11*Inputs!$B$16)*M6</f>
        <v/>
      </c>
      <c r="N7" s="31">
        <f>SUM(B7:M7)</f>
        <v/>
      </c>
    </row>
    <row r="8">
      <c r="A8" s="8" t="inlineStr">
        <is>
          <t>Renewals</t>
        </is>
      </c>
      <c r="B8" s="30">
        <f>B7*Inputs!$B$17</f>
        <v/>
      </c>
      <c r="C8" s="30">
        <f>C7*Inputs!$B$17</f>
        <v/>
      </c>
      <c r="D8" s="30">
        <f>D7*Inputs!$B$17</f>
        <v/>
      </c>
      <c r="E8" s="30">
        <f>E7*Inputs!$B$17</f>
        <v/>
      </c>
      <c r="F8" s="30">
        <f>F7*Inputs!$B$17</f>
        <v/>
      </c>
      <c r="G8" s="30">
        <f>G7*Inputs!$B$17</f>
        <v/>
      </c>
      <c r="H8" s="30">
        <f>H7*Inputs!$B$17</f>
        <v/>
      </c>
      <c r="I8" s="30">
        <f>I7*Inputs!$B$17</f>
        <v/>
      </c>
      <c r="J8" s="30">
        <f>J7*Inputs!$B$17</f>
        <v/>
      </c>
      <c r="K8" s="30">
        <f>K7*Inputs!$B$17</f>
        <v/>
      </c>
      <c r="L8" s="30">
        <f>L7*Inputs!$B$17</f>
        <v/>
      </c>
      <c r="M8" s="30">
        <f>M7*Inputs!$B$17</f>
        <v/>
      </c>
      <c r="N8" s="31">
        <f>SUM(B8:M8)</f>
        <v/>
      </c>
    </row>
    <row r="9">
      <c r="A9" s="8" t="inlineStr">
        <is>
          <t>Move-outs at expiration</t>
        </is>
      </c>
      <c r="B9" s="30">
        <f>B7-B8</f>
        <v/>
      </c>
      <c r="C9" s="30">
        <f>C7-C8</f>
        <v/>
      </c>
      <c r="D9" s="30">
        <f>D7-D8</f>
        <v/>
      </c>
      <c r="E9" s="30">
        <f>E7-E8</f>
        <v/>
      </c>
      <c r="F9" s="30">
        <f>F7-F8</f>
        <v/>
      </c>
      <c r="G9" s="30">
        <f>G7-G8</f>
        <v/>
      </c>
      <c r="H9" s="30">
        <f>H7-H8</f>
        <v/>
      </c>
      <c r="I9" s="30">
        <f>I7-I8</f>
        <v/>
      </c>
      <c r="J9" s="30">
        <f>J7-J8</f>
        <v/>
      </c>
      <c r="K9" s="30">
        <f>K7-K8</f>
        <v/>
      </c>
      <c r="L9" s="30">
        <f>L7-L8</f>
        <v/>
      </c>
      <c r="M9" s="30">
        <f>M7-M8</f>
        <v/>
      </c>
      <c r="N9" s="31">
        <f>SUM(B9:M9)</f>
        <v/>
      </c>
    </row>
    <row r="10">
      <c r="A10" s="8" t="inlineStr">
        <is>
          <t>Early terminations / skips</t>
        </is>
      </c>
      <c r="B10" s="30">
        <f>Inputs!$B$9*Inputs!$B$18/12</f>
        <v/>
      </c>
      <c r="C10" s="30">
        <f>Inputs!$B$9*Inputs!$B$18/12</f>
        <v/>
      </c>
      <c r="D10" s="30">
        <f>Inputs!$B$9*Inputs!$B$18/12</f>
        <v/>
      </c>
      <c r="E10" s="30">
        <f>Inputs!$B$9*Inputs!$B$18/12</f>
        <v/>
      </c>
      <c r="F10" s="30">
        <f>Inputs!$B$9*Inputs!$B$18/12</f>
        <v/>
      </c>
      <c r="G10" s="30">
        <f>Inputs!$B$9*Inputs!$B$18/12</f>
        <v/>
      </c>
      <c r="H10" s="30">
        <f>Inputs!$B$9*Inputs!$B$18/12</f>
        <v/>
      </c>
      <c r="I10" s="30">
        <f>Inputs!$B$9*Inputs!$B$18/12</f>
        <v/>
      </c>
      <c r="J10" s="30">
        <f>Inputs!$B$9*Inputs!$B$18/12</f>
        <v/>
      </c>
      <c r="K10" s="30">
        <f>Inputs!$B$9*Inputs!$B$18/12</f>
        <v/>
      </c>
      <c r="L10" s="30">
        <f>Inputs!$B$9*Inputs!$B$18/12</f>
        <v/>
      </c>
      <c r="M10" s="30">
        <f>Inputs!$B$9*Inputs!$B$18/12</f>
        <v/>
      </c>
      <c r="N10" s="31">
        <f>SUM(B10:M10)</f>
        <v/>
      </c>
    </row>
    <row r="11">
      <c r="A11" s="8" t="inlineStr">
        <is>
          <t>Leases to reach target occupancy</t>
        </is>
      </c>
      <c r="B11" s="30">
        <f>MAX(0,Inputs!$B$9*(Inputs!$B$12-Inputs!$B$11))/12</f>
        <v/>
      </c>
      <c r="C11" s="30">
        <f>MAX(0,Inputs!$B$9*(Inputs!$B$12-Inputs!$B$11))/12</f>
        <v/>
      </c>
      <c r="D11" s="30">
        <f>MAX(0,Inputs!$B$9*(Inputs!$B$12-Inputs!$B$11))/12</f>
        <v/>
      </c>
      <c r="E11" s="30">
        <f>MAX(0,Inputs!$B$9*(Inputs!$B$12-Inputs!$B$11))/12</f>
        <v/>
      </c>
      <c r="F11" s="30">
        <f>MAX(0,Inputs!$B$9*(Inputs!$B$12-Inputs!$B$11))/12</f>
        <v/>
      </c>
      <c r="G11" s="30">
        <f>MAX(0,Inputs!$B$9*(Inputs!$B$12-Inputs!$B$11))/12</f>
        <v/>
      </c>
      <c r="H11" s="30">
        <f>MAX(0,Inputs!$B$9*(Inputs!$B$12-Inputs!$B$11))/12</f>
        <v/>
      </c>
      <c r="I11" s="30">
        <f>MAX(0,Inputs!$B$9*(Inputs!$B$12-Inputs!$B$11))/12</f>
        <v/>
      </c>
      <c r="J11" s="30">
        <f>MAX(0,Inputs!$B$9*(Inputs!$B$12-Inputs!$B$11))/12</f>
        <v/>
      </c>
      <c r="K11" s="30">
        <f>MAX(0,Inputs!$B$9*(Inputs!$B$12-Inputs!$B$11))/12</f>
        <v/>
      </c>
      <c r="L11" s="30">
        <f>MAX(0,Inputs!$B$9*(Inputs!$B$12-Inputs!$B$11))/12</f>
        <v/>
      </c>
      <c r="M11" s="30">
        <f>MAX(0,Inputs!$B$9*(Inputs!$B$12-Inputs!$B$11))/12</f>
        <v/>
      </c>
      <c r="N11" s="31">
        <f>SUM(B11:M11)</f>
        <v/>
      </c>
    </row>
    <row r="12">
      <c r="A12" s="5" t="inlineStr">
        <is>
          <t>New leases needed</t>
        </is>
      </c>
      <c r="B12" s="31">
        <f>B9+B10+B11</f>
        <v/>
      </c>
      <c r="C12" s="31">
        <f>C9+C10+C11</f>
        <v/>
      </c>
      <c r="D12" s="31">
        <f>D9+D10+D11</f>
        <v/>
      </c>
      <c r="E12" s="31">
        <f>E9+E10+E11</f>
        <v/>
      </c>
      <c r="F12" s="31">
        <f>F9+F10+F11</f>
        <v/>
      </c>
      <c r="G12" s="31">
        <f>G9+G10+G11</f>
        <v/>
      </c>
      <c r="H12" s="31">
        <f>H9+H10+H11</f>
        <v/>
      </c>
      <c r="I12" s="31">
        <f>I9+I10+I11</f>
        <v/>
      </c>
      <c r="J12" s="31">
        <f>J9+J10+J11</f>
        <v/>
      </c>
      <c r="K12" s="31">
        <f>K9+K10+K11</f>
        <v/>
      </c>
      <c r="L12" s="31">
        <f>L9+L10+L11</f>
        <v/>
      </c>
      <c r="M12" s="31">
        <f>M9+M10+M11</f>
        <v/>
      </c>
      <c r="N12" s="31">
        <f>SUM(B12:M12)</f>
        <v/>
      </c>
    </row>
    <row r="13">
      <c r="A13" s="3" t="inlineStr">
        <is>
          <t>Funnel targets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5" t="inlineStr">
        <is>
          <t>Leads needed</t>
        </is>
      </c>
      <c r="B14" s="32">
        <f>IFERROR(B12/Inputs!$B$26,0)</f>
        <v/>
      </c>
      <c r="C14" s="32">
        <f>IFERROR(C12/Inputs!$B$26,0)</f>
        <v/>
      </c>
      <c r="D14" s="32">
        <f>IFERROR(D12/Inputs!$B$26,0)</f>
        <v/>
      </c>
      <c r="E14" s="32">
        <f>IFERROR(E12/Inputs!$B$26,0)</f>
        <v/>
      </c>
      <c r="F14" s="32">
        <f>IFERROR(F12/Inputs!$B$26,0)</f>
        <v/>
      </c>
      <c r="G14" s="32">
        <f>IFERROR(G12/Inputs!$B$26,0)</f>
        <v/>
      </c>
      <c r="H14" s="32">
        <f>IFERROR(H12/Inputs!$B$26,0)</f>
        <v/>
      </c>
      <c r="I14" s="32">
        <f>IFERROR(I12/Inputs!$B$26,0)</f>
        <v/>
      </c>
      <c r="J14" s="32">
        <f>IFERROR(J12/Inputs!$B$26,0)</f>
        <v/>
      </c>
      <c r="K14" s="32">
        <f>IFERROR(K12/Inputs!$B$26,0)</f>
        <v/>
      </c>
      <c r="L14" s="32">
        <f>IFERROR(L12/Inputs!$B$26,0)</f>
        <v/>
      </c>
      <c r="M14" s="32">
        <f>IFERROR(M12/Inputs!$B$26,0)</f>
        <v/>
      </c>
      <c r="N14" s="32">
        <f>SUM(B14:M14)</f>
        <v/>
      </c>
    </row>
    <row r="15">
      <c r="A15" s="8" t="inlineStr">
        <is>
          <t>Tours needed</t>
        </is>
      </c>
      <c r="B15" s="33">
        <f>B14*Inputs!$B$22</f>
        <v/>
      </c>
      <c r="C15" s="33">
        <f>C14*Inputs!$B$22</f>
        <v/>
      </c>
      <c r="D15" s="33">
        <f>D14*Inputs!$B$22</f>
        <v/>
      </c>
      <c r="E15" s="33">
        <f>E14*Inputs!$B$22</f>
        <v/>
      </c>
      <c r="F15" s="33">
        <f>F14*Inputs!$B$22</f>
        <v/>
      </c>
      <c r="G15" s="33">
        <f>G14*Inputs!$B$22</f>
        <v/>
      </c>
      <c r="H15" s="33">
        <f>H14*Inputs!$B$22</f>
        <v/>
      </c>
      <c r="I15" s="33">
        <f>I14*Inputs!$B$22</f>
        <v/>
      </c>
      <c r="J15" s="33">
        <f>J14*Inputs!$B$22</f>
        <v/>
      </c>
      <c r="K15" s="33">
        <f>K14*Inputs!$B$22</f>
        <v/>
      </c>
      <c r="L15" s="33">
        <f>L14*Inputs!$B$22</f>
        <v/>
      </c>
      <c r="M15" s="33">
        <f>M14*Inputs!$B$22</f>
        <v/>
      </c>
      <c r="N15" s="32">
        <f>SUM(B15:M15)</f>
        <v/>
      </c>
    </row>
    <row r="16">
      <c r="A16" s="8" t="inlineStr">
        <is>
          <t>Applications needed</t>
        </is>
      </c>
      <c r="B16" s="33">
        <f>B15*Inputs!$B$23</f>
        <v/>
      </c>
      <c r="C16" s="33">
        <f>C15*Inputs!$B$23</f>
        <v/>
      </c>
      <c r="D16" s="33">
        <f>D15*Inputs!$B$23</f>
        <v/>
      </c>
      <c r="E16" s="33">
        <f>E15*Inputs!$B$23</f>
        <v/>
      </c>
      <c r="F16" s="33">
        <f>F15*Inputs!$B$23</f>
        <v/>
      </c>
      <c r="G16" s="33">
        <f>G15*Inputs!$B$23</f>
        <v/>
      </c>
      <c r="H16" s="33">
        <f>H15*Inputs!$B$23</f>
        <v/>
      </c>
      <c r="I16" s="33">
        <f>I15*Inputs!$B$23</f>
        <v/>
      </c>
      <c r="J16" s="33">
        <f>J15*Inputs!$B$23</f>
        <v/>
      </c>
      <c r="K16" s="33">
        <f>K15*Inputs!$B$23</f>
        <v/>
      </c>
      <c r="L16" s="33">
        <f>L15*Inputs!$B$23</f>
        <v/>
      </c>
      <c r="M16" s="33">
        <f>M15*Inputs!$B$23</f>
        <v/>
      </c>
      <c r="N16" s="32">
        <f>SUM(B16:M16)</f>
        <v/>
      </c>
    </row>
    <row r="17">
      <c r="A17" s="3" t="inlineStr">
        <is>
          <t>Spend by lead channel ($)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17">
        <f>Inputs!$A$50</f>
        <v/>
      </c>
      <c r="B18" s="34">
        <f>Inputs!$D$50+B14*Inputs!$B$50*Inputs!$C$50+B12*Inputs!$B$50*Inputs!$E$50</f>
        <v/>
      </c>
      <c r="C18" s="34">
        <f>Inputs!$D$50+C14*Inputs!$B$50*Inputs!$C$50+C12*Inputs!$B$50*Inputs!$E$50</f>
        <v/>
      </c>
      <c r="D18" s="34">
        <f>Inputs!$D$50+D14*Inputs!$B$50*Inputs!$C$50+D12*Inputs!$B$50*Inputs!$E$50</f>
        <v/>
      </c>
      <c r="E18" s="34">
        <f>Inputs!$D$50+E14*Inputs!$B$50*Inputs!$C$50+E12*Inputs!$B$50*Inputs!$E$50</f>
        <v/>
      </c>
      <c r="F18" s="34">
        <f>Inputs!$D$50+F14*Inputs!$B$50*Inputs!$C$50+F12*Inputs!$B$50*Inputs!$E$50</f>
        <v/>
      </c>
      <c r="G18" s="34">
        <f>Inputs!$D$50+G14*Inputs!$B$50*Inputs!$C$50+G12*Inputs!$B$50*Inputs!$E$50</f>
        <v/>
      </c>
      <c r="H18" s="34">
        <f>Inputs!$D$50+H14*Inputs!$B$50*Inputs!$C$50+H12*Inputs!$B$50*Inputs!$E$50</f>
        <v/>
      </c>
      <c r="I18" s="34">
        <f>Inputs!$D$50+I14*Inputs!$B$50*Inputs!$C$50+I12*Inputs!$B$50*Inputs!$E$50</f>
        <v/>
      </c>
      <c r="J18" s="34">
        <f>Inputs!$D$50+J14*Inputs!$B$50*Inputs!$C$50+J12*Inputs!$B$50*Inputs!$E$50</f>
        <v/>
      </c>
      <c r="K18" s="34">
        <f>Inputs!$D$50+K14*Inputs!$B$50*Inputs!$C$50+K12*Inputs!$B$50*Inputs!$E$50</f>
        <v/>
      </c>
      <c r="L18" s="34">
        <f>Inputs!$D$50+L14*Inputs!$B$50*Inputs!$C$50+L12*Inputs!$B$50*Inputs!$E$50</f>
        <v/>
      </c>
      <c r="M18" s="34">
        <f>Inputs!$D$50+M14*Inputs!$B$50*Inputs!$C$50+M12*Inputs!$B$50*Inputs!$E$50</f>
        <v/>
      </c>
      <c r="N18" s="35">
        <f>SUM(B18:M18)</f>
        <v/>
      </c>
    </row>
    <row r="19">
      <c r="A19" s="17">
        <f>Inputs!$A$51</f>
        <v/>
      </c>
      <c r="B19" s="34">
        <f>Inputs!$D$51+B14*Inputs!$B$51*Inputs!$C$51+B12*Inputs!$B$51*Inputs!$E$51</f>
        <v/>
      </c>
      <c r="C19" s="34">
        <f>Inputs!$D$51+C14*Inputs!$B$51*Inputs!$C$51+C12*Inputs!$B$51*Inputs!$E$51</f>
        <v/>
      </c>
      <c r="D19" s="34">
        <f>Inputs!$D$51+D14*Inputs!$B$51*Inputs!$C$51+D12*Inputs!$B$51*Inputs!$E$51</f>
        <v/>
      </c>
      <c r="E19" s="34">
        <f>Inputs!$D$51+E14*Inputs!$B$51*Inputs!$C$51+E12*Inputs!$B$51*Inputs!$E$51</f>
        <v/>
      </c>
      <c r="F19" s="34">
        <f>Inputs!$D$51+F14*Inputs!$B$51*Inputs!$C$51+F12*Inputs!$B$51*Inputs!$E$51</f>
        <v/>
      </c>
      <c r="G19" s="34">
        <f>Inputs!$D$51+G14*Inputs!$B$51*Inputs!$C$51+G12*Inputs!$B$51*Inputs!$E$51</f>
        <v/>
      </c>
      <c r="H19" s="34">
        <f>Inputs!$D$51+H14*Inputs!$B$51*Inputs!$C$51+H12*Inputs!$B$51*Inputs!$E$51</f>
        <v/>
      </c>
      <c r="I19" s="34">
        <f>Inputs!$D$51+I14*Inputs!$B$51*Inputs!$C$51+I12*Inputs!$B$51*Inputs!$E$51</f>
        <v/>
      </c>
      <c r="J19" s="34">
        <f>Inputs!$D$51+J14*Inputs!$B$51*Inputs!$C$51+J12*Inputs!$B$51*Inputs!$E$51</f>
        <v/>
      </c>
      <c r="K19" s="34">
        <f>Inputs!$D$51+K14*Inputs!$B$51*Inputs!$C$51+K12*Inputs!$B$51*Inputs!$E$51</f>
        <v/>
      </c>
      <c r="L19" s="34">
        <f>Inputs!$D$51+L14*Inputs!$B$51*Inputs!$C$51+L12*Inputs!$B$51*Inputs!$E$51</f>
        <v/>
      </c>
      <c r="M19" s="34">
        <f>Inputs!$D$51+M14*Inputs!$B$51*Inputs!$C$51+M12*Inputs!$B$51*Inputs!$E$51</f>
        <v/>
      </c>
      <c r="N19" s="35">
        <f>SUM(B19:M19)</f>
        <v/>
      </c>
    </row>
    <row r="20">
      <c r="A20" s="17">
        <f>Inputs!$A$52</f>
        <v/>
      </c>
      <c r="B20" s="34">
        <f>Inputs!$D$52+B14*Inputs!$B$52*Inputs!$C$52+B12*Inputs!$B$52*Inputs!$E$52</f>
        <v/>
      </c>
      <c r="C20" s="34">
        <f>Inputs!$D$52+C14*Inputs!$B$52*Inputs!$C$52+C12*Inputs!$B$52*Inputs!$E$52</f>
        <v/>
      </c>
      <c r="D20" s="34">
        <f>Inputs!$D$52+D14*Inputs!$B$52*Inputs!$C$52+D12*Inputs!$B$52*Inputs!$E$52</f>
        <v/>
      </c>
      <c r="E20" s="34">
        <f>Inputs!$D$52+E14*Inputs!$B$52*Inputs!$C$52+E12*Inputs!$B$52*Inputs!$E$52</f>
        <v/>
      </c>
      <c r="F20" s="34">
        <f>Inputs!$D$52+F14*Inputs!$B$52*Inputs!$C$52+F12*Inputs!$B$52*Inputs!$E$52</f>
        <v/>
      </c>
      <c r="G20" s="34">
        <f>Inputs!$D$52+G14*Inputs!$B$52*Inputs!$C$52+G12*Inputs!$B$52*Inputs!$E$52</f>
        <v/>
      </c>
      <c r="H20" s="34">
        <f>Inputs!$D$52+H14*Inputs!$B$52*Inputs!$C$52+H12*Inputs!$B$52*Inputs!$E$52</f>
        <v/>
      </c>
      <c r="I20" s="34">
        <f>Inputs!$D$52+I14*Inputs!$B$52*Inputs!$C$52+I12*Inputs!$B$52*Inputs!$E$52</f>
        <v/>
      </c>
      <c r="J20" s="34">
        <f>Inputs!$D$52+J14*Inputs!$B$52*Inputs!$C$52+J12*Inputs!$B$52*Inputs!$E$52</f>
        <v/>
      </c>
      <c r="K20" s="34">
        <f>Inputs!$D$52+K14*Inputs!$B$52*Inputs!$C$52+K12*Inputs!$B$52*Inputs!$E$52</f>
        <v/>
      </c>
      <c r="L20" s="34">
        <f>Inputs!$D$52+L14*Inputs!$B$52*Inputs!$C$52+L12*Inputs!$B$52*Inputs!$E$52</f>
        <v/>
      </c>
      <c r="M20" s="34">
        <f>Inputs!$D$52+M14*Inputs!$B$52*Inputs!$C$52+M12*Inputs!$B$52*Inputs!$E$52</f>
        <v/>
      </c>
      <c r="N20" s="35">
        <f>SUM(B20:M20)</f>
        <v/>
      </c>
    </row>
    <row r="21">
      <c r="A21" s="17">
        <f>Inputs!$A$53</f>
        <v/>
      </c>
      <c r="B21" s="34">
        <f>Inputs!$D$53+B14*Inputs!$B$53*Inputs!$C$53+B12*Inputs!$B$53*Inputs!$E$53</f>
        <v/>
      </c>
      <c r="C21" s="34">
        <f>Inputs!$D$53+C14*Inputs!$B$53*Inputs!$C$53+C12*Inputs!$B$53*Inputs!$E$53</f>
        <v/>
      </c>
      <c r="D21" s="34">
        <f>Inputs!$D$53+D14*Inputs!$B$53*Inputs!$C$53+D12*Inputs!$B$53*Inputs!$E$53</f>
        <v/>
      </c>
      <c r="E21" s="34">
        <f>Inputs!$D$53+E14*Inputs!$B$53*Inputs!$C$53+E12*Inputs!$B$53*Inputs!$E$53</f>
        <v/>
      </c>
      <c r="F21" s="34">
        <f>Inputs!$D$53+F14*Inputs!$B$53*Inputs!$C$53+F12*Inputs!$B$53*Inputs!$E$53</f>
        <v/>
      </c>
      <c r="G21" s="34">
        <f>Inputs!$D$53+G14*Inputs!$B$53*Inputs!$C$53+G12*Inputs!$B$53*Inputs!$E$53</f>
        <v/>
      </c>
      <c r="H21" s="34">
        <f>Inputs!$D$53+H14*Inputs!$B$53*Inputs!$C$53+H12*Inputs!$B$53*Inputs!$E$53</f>
        <v/>
      </c>
      <c r="I21" s="34">
        <f>Inputs!$D$53+I14*Inputs!$B$53*Inputs!$C$53+I12*Inputs!$B$53*Inputs!$E$53</f>
        <v/>
      </c>
      <c r="J21" s="34">
        <f>Inputs!$D$53+J14*Inputs!$B$53*Inputs!$C$53+J12*Inputs!$B$53*Inputs!$E$53</f>
        <v/>
      </c>
      <c r="K21" s="34">
        <f>Inputs!$D$53+K14*Inputs!$B$53*Inputs!$C$53+K12*Inputs!$B$53*Inputs!$E$53</f>
        <v/>
      </c>
      <c r="L21" s="34">
        <f>Inputs!$D$53+L14*Inputs!$B$53*Inputs!$C$53+L12*Inputs!$B$53*Inputs!$E$53</f>
        <v/>
      </c>
      <c r="M21" s="34">
        <f>Inputs!$D$53+M14*Inputs!$B$53*Inputs!$C$53+M12*Inputs!$B$53*Inputs!$E$53</f>
        <v/>
      </c>
      <c r="N21" s="35">
        <f>SUM(B21:M21)</f>
        <v/>
      </c>
    </row>
    <row r="22">
      <c r="A22" s="17">
        <f>Inputs!$A$54</f>
        <v/>
      </c>
      <c r="B22" s="34">
        <f>Inputs!$D$54+B14*Inputs!$B$54*Inputs!$C$54+B12*Inputs!$B$54*Inputs!$E$54</f>
        <v/>
      </c>
      <c r="C22" s="34">
        <f>Inputs!$D$54+C14*Inputs!$B$54*Inputs!$C$54+C12*Inputs!$B$54*Inputs!$E$54</f>
        <v/>
      </c>
      <c r="D22" s="34">
        <f>Inputs!$D$54+D14*Inputs!$B$54*Inputs!$C$54+D12*Inputs!$B$54*Inputs!$E$54</f>
        <v/>
      </c>
      <c r="E22" s="34">
        <f>Inputs!$D$54+E14*Inputs!$B$54*Inputs!$C$54+E12*Inputs!$B$54*Inputs!$E$54</f>
        <v/>
      </c>
      <c r="F22" s="34">
        <f>Inputs!$D$54+F14*Inputs!$B$54*Inputs!$C$54+F12*Inputs!$B$54*Inputs!$E$54</f>
        <v/>
      </c>
      <c r="G22" s="34">
        <f>Inputs!$D$54+G14*Inputs!$B$54*Inputs!$C$54+G12*Inputs!$B$54*Inputs!$E$54</f>
        <v/>
      </c>
      <c r="H22" s="34">
        <f>Inputs!$D$54+H14*Inputs!$B$54*Inputs!$C$54+H12*Inputs!$B$54*Inputs!$E$54</f>
        <v/>
      </c>
      <c r="I22" s="34">
        <f>Inputs!$D$54+I14*Inputs!$B$54*Inputs!$C$54+I12*Inputs!$B$54*Inputs!$E$54</f>
        <v/>
      </c>
      <c r="J22" s="34">
        <f>Inputs!$D$54+J14*Inputs!$B$54*Inputs!$C$54+J12*Inputs!$B$54*Inputs!$E$54</f>
        <v/>
      </c>
      <c r="K22" s="34">
        <f>Inputs!$D$54+K14*Inputs!$B$54*Inputs!$C$54+K12*Inputs!$B$54*Inputs!$E$54</f>
        <v/>
      </c>
      <c r="L22" s="34">
        <f>Inputs!$D$54+L14*Inputs!$B$54*Inputs!$C$54+L12*Inputs!$B$54*Inputs!$E$54</f>
        <v/>
      </c>
      <c r="M22" s="34">
        <f>Inputs!$D$54+M14*Inputs!$B$54*Inputs!$C$54+M12*Inputs!$B$54*Inputs!$E$54</f>
        <v/>
      </c>
      <c r="N22" s="35">
        <f>SUM(B22:M22)</f>
        <v/>
      </c>
    </row>
    <row r="23">
      <c r="A23" s="17">
        <f>Inputs!$A$55</f>
        <v/>
      </c>
      <c r="B23" s="34">
        <f>Inputs!$D$55+B14*Inputs!$B$55*Inputs!$C$55+B12*Inputs!$B$55*Inputs!$E$55</f>
        <v/>
      </c>
      <c r="C23" s="34">
        <f>Inputs!$D$55+C14*Inputs!$B$55*Inputs!$C$55+C12*Inputs!$B$55*Inputs!$E$55</f>
        <v/>
      </c>
      <c r="D23" s="34">
        <f>Inputs!$D$55+D14*Inputs!$B$55*Inputs!$C$55+D12*Inputs!$B$55*Inputs!$E$55</f>
        <v/>
      </c>
      <c r="E23" s="34">
        <f>Inputs!$D$55+E14*Inputs!$B$55*Inputs!$C$55+E12*Inputs!$B$55*Inputs!$E$55</f>
        <v/>
      </c>
      <c r="F23" s="34">
        <f>Inputs!$D$55+F14*Inputs!$B$55*Inputs!$C$55+F12*Inputs!$B$55*Inputs!$E$55</f>
        <v/>
      </c>
      <c r="G23" s="34">
        <f>Inputs!$D$55+G14*Inputs!$B$55*Inputs!$C$55+G12*Inputs!$B$55*Inputs!$E$55</f>
        <v/>
      </c>
      <c r="H23" s="34">
        <f>Inputs!$D$55+H14*Inputs!$B$55*Inputs!$C$55+H12*Inputs!$B$55*Inputs!$E$55</f>
        <v/>
      </c>
      <c r="I23" s="34">
        <f>Inputs!$D$55+I14*Inputs!$B$55*Inputs!$C$55+I12*Inputs!$B$55*Inputs!$E$55</f>
        <v/>
      </c>
      <c r="J23" s="34">
        <f>Inputs!$D$55+J14*Inputs!$B$55*Inputs!$C$55+J12*Inputs!$B$55*Inputs!$E$55</f>
        <v/>
      </c>
      <c r="K23" s="34">
        <f>Inputs!$D$55+K14*Inputs!$B$55*Inputs!$C$55+K12*Inputs!$B$55*Inputs!$E$55</f>
        <v/>
      </c>
      <c r="L23" s="34">
        <f>Inputs!$D$55+L14*Inputs!$B$55*Inputs!$C$55+L12*Inputs!$B$55*Inputs!$E$55</f>
        <v/>
      </c>
      <c r="M23" s="34">
        <f>Inputs!$D$55+M14*Inputs!$B$55*Inputs!$C$55+M12*Inputs!$B$55*Inputs!$E$55</f>
        <v/>
      </c>
      <c r="N23" s="35">
        <f>SUM(B23:M23)</f>
        <v/>
      </c>
    </row>
    <row r="24">
      <c r="A24" s="17">
        <f>Inputs!$A$56</f>
        <v/>
      </c>
      <c r="B24" s="34">
        <f>Inputs!$D$56+B14*Inputs!$B$56*Inputs!$C$56+B12*Inputs!$B$56*Inputs!$E$56</f>
        <v/>
      </c>
      <c r="C24" s="34">
        <f>Inputs!$D$56+C14*Inputs!$B$56*Inputs!$C$56+C12*Inputs!$B$56*Inputs!$E$56</f>
        <v/>
      </c>
      <c r="D24" s="34">
        <f>Inputs!$D$56+D14*Inputs!$B$56*Inputs!$C$56+D12*Inputs!$B$56*Inputs!$E$56</f>
        <v/>
      </c>
      <c r="E24" s="34">
        <f>Inputs!$D$56+E14*Inputs!$B$56*Inputs!$C$56+E12*Inputs!$B$56*Inputs!$E$56</f>
        <v/>
      </c>
      <c r="F24" s="34">
        <f>Inputs!$D$56+F14*Inputs!$B$56*Inputs!$C$56+F12*Inputs!$B$56*Inputs!$E$56</f>
        <v/>
      </c>
      <c r="G24" s="34">
        <f>Inputs!$D$56+G14*Inputs!$B$56*Inputs!$C$56+G12*Inputs!$B$56*Inputs!$E$56</f>
        <v/>
      </c>
      <c r="H24" s="34">
        <f>Inputs!$D$56+H14*Inputs!$B$56*Inputs!$C$56+H12*Inputs!$B$56*Inputs!$E$56</f>
        <v/>
      </c>
      <c r="I24" s="34">
        <f>Inputs!$D$56+I14*Inputs!$B$56*Inputs!$C$56+I12*Inputs!$B$56*Inputs!$E$56</f>
        <v/>
      </c>
      <c r="J24" s="34">
        <f>Inputs!$D$56+J14*Inputs!$B$56*Inputs!$C$56+J12*Inputs!$B$56*Inputs!$E$56</f>
        <v/>
      </c>
      <c r="K24" s="34">
        <f>Inputs!$D$56+K14*Inputs!$B$56*Inputs!$C$56+K12*Inputs!$B$56*Inputs!$E$56</f>
        <v/>
      </c>
      <c r="L24" s="34">
        <f>Inputs!$D$56+L14*Inputs!$B$56*Inputs!$C$56+L12*Inputs!$B$56*Inputs!$E$56</f>
        <v/>
      </c>
      <c r="M24" s="34">
        <f>Inputs!$D$56+M14*Inputs!$B$56*Inputs!$C$56+M12*Inputs!$B$56*Inputs!$E$56</f>
        <v/>
      </c>
      <c r="N24" s="35">
        <f>SUM(B24:M24)</f>
        <v/>
      </c>
    </row>
    <row r="25">
      <c r="A25" s="5" t="inlineStr">
        <is>
          <t>Channel subtotal</t>
        </is>
      </c>
      <c r="B25" s="35">
        <f>SUM(B18:B24)</f>
        <v/>
      </c>
      <c r="C25" s="35">
        <f>SUM(C18:C24)</f>
        <v/>
      </c>
      <c r="D25" s="35">
        <f>SUM(D18:D24)</f>
        <v/>
      </c>
      <c r="E25" s="35">
        <f>SUM(E18:E24)</f>
        <v/>
      </c>
      <c r="F25" s="35">
        <f>SUM(F18:F24)</f>
        <v/>
      </c>
      <c r="G25" s="35">
        <f>SUM(G18:G24)</f>
        <v/>
      </c>
      <c r="H25" s="35">
        <f>SUM(H18:H24)</f>
        <v/>
      </c>
      <c r="I25" s="35">
        <f>SUM(I18:I24)</f>
        <v/>
      </c>
      <c r="J25" s="35">
        <f>SUM(J18:J24)</f>
        <v/>
      </c>
      <c r="K25" s="35">
        <f>SUM(K18:K24)</f>
        <v/>
      </c>
      <c r="L25" s="35">
        <f>SUM(L18:L24)</f>
        <v/>
      </c>
      <c r="M25" s="35">
        <f>SUM(M18:M24)</f>
        <v/>
      </c>
      <c r="N25" s="35">
        <f>SUM(B25:M25)</f>
        <v/>
      </c>
    </row>
    <row r="26">
      <c r="A26" s="3" t="inlineStr">
        <is>
          <t>Fixed, program &amp; retention costs ($)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17">
        <f>Inputs!$A$62</f>
        <v/>
      </c>
      <c r="B27" s="34">
        <f>Inputs!$B$62+Inputs!$C$62/12</f>
        <v/>
      </c>
      <c r="C27" s="34">
        <f>Inputs!$B$62+Inputs!$C$62/12</f>
        <v/>
      </c>
      <c r="D27" s="34">
        <f>Inputs!$B$62+Inputs!$C$62/12</f>
        <v/>
      </c>
      <c r="E27" s="34">
        <f>Inputs!$B$62+Inputs!$C$62/12</f>
        <v/>
      </c>
      <c r="F27" s="34">
        <f>Inputs!$B$62+Inputs!$C$62/12</f>
        <v/>
      </c>
      <c r="G27" s="34">
        <f>Inputs!$B$62+Inputs!$C$62/12</f>
        <v/>
      </c>
      <c r="H27" s="34">
        <f>Inputs!$B$62+Inputs!$C$62/12</f>
        <v/>
      </c>
      <c r="I27" s="34">
        <f>Inputs!$B$62+Inputs!$C$62/12</f>
        <v/>
      </c>
      <c r="J27" s="34">
        <f>Inputs!$B$62+Inputs!$C$62/12</f>
        <v/>
      </c>
      <c r="K27" s="34">
        <f>Inputs!$B$62+Inputs!$C$62/12</f>
        <v/>
      </c>
      <c r="L27" s="34">
        <f>Inputs!$B$62+Inputs!$C$62/12</f>
        <v/>
      </c>
      <c r="M27" s="34">
        <f>Inputs!$B$62+Inputs!$C$62/12</f>
        <v/>
      </c>
      <c r="N27" s="35">
        <f>SUM(B27:M27)</f>
        <v/>
      </c>
    </row>
    <row r="28">
      <c r="A28" s="17">
        <f>Inputs!$A$63</f>
        <v/>
      </c>
      <c r="B28" s="34">
        <f>Inputs!$B$63+Inputs!$C$63/12</f>
        <v/>
      </c>
      <c r="C28" s="34">
        <f>Inputs!$B$63+Inputs!$C$63/12</f>
        <v/>
      </c>
      <c r="D28" s="34">
        <f>Inputs!$B$63+Inputs!$C$63/12</f>
        <v/>
      </c>
      <c r="E28" s="34">
        <f>Inputs!$B$63+Inputs!$C$63/12</f>
        <v/>
      </c>
      <c r="F28" s="34">
        <f>Inputs!$B$63+Inputs!$C$63/12</f>
        <v/>
      </c>
      <c r="G28" s="34">
        <f>Inputs!$B$63+Inputs!$C$63/12</f>
        <v/>
      </c>
      <c r="H28" s="34">
        <f>Inputs!$B$63+Inputs!$C$63/12</f>
        <v/>
      </c>
      <c r="I28" s="34">
        <f>Inputs!$B$63+Inputs!$C$63/12</f>
        <v/>
      </c>
      <c r="J28" s="34">
        <f>Inputs!$B$63+Inputs!$C$63/12</f>
        <v/>
      </c>
      <c r="K28" s="34">
        <f>Inputs!$B$63+Inputs!$C$63/12</f>
        <v/>
      </c>
      <c r="L28" s="34">
        <f>Inputs!$B$63+Inputs!$C$63/12</f>
        <v/>
      </c>
      <c r="M28" s="34">
        <f>Inputs!$B$63+Inputs!$C$63/12</f>
        <v/>
      </c>
      <c r="N28" s="35">
        <f>SUM(B28:M28)</f>
        <v/>
      </c>
    </row>
    <row r="29">
      <c r="A29" s="17">
        <f>Inputs!$A$64</f>
        <v/>
      </c>
      <c r="B29" s="34">
        <f>Inputs!$B$64+Inputs!$C$64/12</f>
        <v/>
      </c>
      <c r="C29" s="34">
        <f>Inputs!$B$64+Inputs!$C$64/12</f>
        <v/>
      </c>
      <c r="D29" s="34">
        <f>Inputs!$B$64+Inputs!$C$64/12</f>
        <v/>
      </c>
      <c r="E29" s="34">
        <f>Inputs!$B$64+Inputs!$C$64/12</f>
        <v/>
      </c>
      <c r="F29" s="34">
        <f>Inputs!$B$64+Inputs!$C$64/12</f>
        <v/>
      </c>
      <c r="G29" s="34">
        <f>Inputs!$B$64+Inputs!$C$64/12</f>
        <v/>
      </c>
      <c r="H29" s="34">
        <f>Inputs!$B$64+Inputs!$C$64/12</f>
        <v/>
      </c>
      <c r="I29" s="34">
        <f>Inputs!$B$64+Inputs!$C$64/12</f>
        <v/>
      </c>
      <c r="J29" s="34">
        <f>Inputs!$B$64+Inputs!$C$64/12</f>
        <v/>
      </c>
      <c r="K29" s="34">
        <f>Inputs!$B$64+Inputs!$C$64/12</f>
        <v/>
      </c>
      <c r="L29" s="34">
        <f>Inputs!$B$64+Inputs!$C$64/12</f>
        <v/>
      </c>
      <c r="M29" s="34">
        <f>Inputs!$B$64+Inputs!$C$64/12</f>
        <v/>
      </c>
      <c r="N29" s="35">
        <f>SUM(B29:M29)</f>
        <v/>
      </c>
    </row>
    <row r="30">
      <c r="A30" s="17">
        <f>Inputs!$A$65</f>
        <v/>
      </c>
      <c r="B30" s="34">
        <f>Inputs!$B$65+Inputs!$C$65/12</f>
        <v/>
      </c>
      <c r="C30" s="34">
        <f>Inputs!$B$65+Inputs!$C$65/12</f>
        <v/>
      </c>
      <c r="D30" s="34">
        <f>Inputs!$B$65+Inputs!$C$65/12</f>
        <v/>
      </c>
      <c r="E30" s="34">
        <f>Inputs!$B$65+Inputs!$C$65/12</f>
        <v/>
      </c>
      <c r="F30" s="34">
        <f>Inputs!$B$65+Inputs!$C$65/12</f>
        <v/>
      </c>
      <c r="G30" s="34">
        <f>Inputs!$B$65+Inputs!$C$65/12</f>
        <v/>
      </c>
      <c r="H30" s="34">
        <f>Inputs!$B$65+Inputs!$C$65/12</f>
        <v/>
      </c>
      <c r="I30" s="34">
        <f>Inputs!$B$65+Inputs!$C$65/12</f>
        <v/>
      </c>
      <c r="J30" s="34">
        <f>Inputs!$B$65+Inputs!$C$65/12</f>
        <v/>
      </c>
      <c r="K30" s="34">
        <f>Inputs!$B$65+Inputs!$C$65/12</f>
        <v/>
      </c>
      <c r="L30" s="34">
        <f>Inputs!$B$65+Inputs!$C$65/12</f>
        <v/>
      </c>
      <c r="M30" s="34">
        <f>Inputs!$B$65+Inputs!$C$65/12</f>
        <v/>
      </c>
      <c r="N30" s="35">
        <f>SUM(B30:M30)</f>
        <v/>
      </c>
    </row>
    <row r="31">
      <c r="A31" s="17">
        <f>Inputs!$A$66</f>
        <v/>
      </c>
      <c r="B31" s="34">
        <f>Inputs!$B$66+Inputs!$C$66/12</f>
        <v/>
      </c>
      <c r="C31" s="34">
        <f>Inputs!$B$66+Inputs!$C$66/12</f>
        <v/>
      </c>
      <c r="D31" s="34">
        <f>Inputs!$B$66+Inputs!$C$66/12</f>
        <v/>
      </c>
      <c r="E31" s="34">
        <f>Inputs!$B$66+Inputs!$C$66/12</f>
        <v/>
      </c>
      <c r="F31" s="34">
        <f>Inputs!$B$66+Inputs!$C$66/12</f>
        <v/>
      </c>
      <c r="G31" s="34">
        <f>Inputs!$B$66+Inputs!$C$66/12</f>
        <v/>
      </c>
      <c r="H31" s="34">
        <f>Inputs!$B$66+Inputs!$C$66/12</f>
        <v/>
      </c>
      <c r="I31" s="34">
        <f>Inputs!$B$66+Inputs!$C$66/12</f>
        <v/>
      </c>
      <c r="J31" s="34">
        <f>Inputs!$B$66+Inputs!$C$66/12</f>
        <v/>
      </c>
      <c r="K31" s="34">
        <f>Inputs!$B$66+Inputs!$C$66/12</f>
        <v/>
      </c>
      <c r="L31" s="34">
        <f>Inputs!$B$66+Inputs!$C$66/12</f>
        <v/>
      </c>
      <c r="M31" s="34">
        <f>Inputs!$B$66+Inputs!$C$66/12</f>
        <v/>
      </c>
      <c r="N31" s="35">
        <f>SUM(B31:M31)</f>
        <v/>
      </c>
    </row>
    <row r="32">
      <c r="A32" s="17">
        <f>Inputs!$A$67</f>
        <v/>
      </c>
      <c r="B32" s="34">
        <f>Inputs!$B$67+Inputs!$C$67/12</f>
        <v/>
      </c>
      <c r="C32" s="34">
        <f>Inputs!$B$67+Inputs!$C$67/12</f>
        <v/>
      </c>
      <c r="D32" s="34">
        <f>Inputs!$B$67+Inputs!$C$67/12</f>
        <v/>
      </c>
      <c r="E32" s="34">
        <f>Inputs!$B$67+Inputs!$C$67/12</f>
        <v/>
      </c>
      <c r="F32" s="34">
        <f>Inputs!$B$67+Inputs!$C$67/12</f>
        <v/>
      </c>
      <c r="G32" s="34">
        <f>Inputs!$B$67+Inputs!$C$67/12</f>
        <v/>
      </c>
      <c r="H32" s="34">
        <f>Inputs!$B$67+Inputs!$C$67/12</f>
        <v/>
      </c>
      <c r="I32" s="34">
        <f>Inputs!$B$67+Inputs!$C$67/12</f>
        <v/>
      </c>
      <c r="J32" s="34">
        <f>Inputs!$B$67+Inputs!$C$67/12</f>
        <v/>
      </c>
      <c r="K32" s="34">
        <f>Inputs!$B$67+Inputs!$C$67/12</f>
        <v/>
      </c>
      <c r="L32" s="34">
        <f>Inputs!$B$67+Inputs!$C$67/12</f>
        <v/>
      </c>
      <c r="M32" s="34">
        <f>Inputs!$B$67+Inputs!$C$67/12</f>
        <v/>
      </c>
      <c r="N32" s="35">
        <f>SUM(B32:M32)</f>
        <v/>
      </c>
    </row>
    <row r="33">
      <c r="A33" s="17">
        <f>Inputs!$A$68</f>
        <v/>
      </c>
      <c r="B33" s="34">
        <f>Inputs!$B$68+Inputs!$C$68/12</f>
        <v/>
      </c>
      <c r="C33" s="34">
        <f>Inputs!$B$68+Inputs!$C$68/12</f>
        <v/>
      </c>
      <c r="D33" s="34">
        <f>Inputs!$B$68+Inputs!$C$68/12</f>
        <v/>
      </c>
      <c r="E33" s="34">
        <f>Inputs!$B$68+Inputs!$C$68/12</f>
        <v/>
      </c>
      <c r="F33" s="34">
        <f>Inputs!$B$68+Inputs!$C$68/12</f>
        <v/>
      </c>
      <c r="G33" s="34">
        <f>Inputs!$B$68+Inputs!$C$68/12</f>
        <v/>
      </c>
      <c r="H33" s="34">
        <f>Inputs!$B$68+Inputs!$C$68/12</f>
        <v/>
      </c>
      <c r="I33" s="34">
        <f>Inputs!$B$68+Inputs!$C$68/12</f>
        <v/>
      </c>
      <c r="J33" s="34">
        <f>Inputs!$B$68+Inputs!$C$68/12</f>
        <v/>
      </c>
      <c r="K33" s="34">
        <f>Inputs!$B$68+Inputs!$C$68/12</f>
        <v/>
      </c>
      <c r="L33" s="34">
        <f>Inputs!$B$68+Inputs!$C$68/12</f>
        <v/>
      </c>
      <c r="M33" s="34">
        <f>Inputs!$B$68+Inputs!$C$68/12</f>
        <v/>
      </c>
      <c r="N33" s="35">
        <f>SUM(B33:M33)</f>
        <v/>
      </c>
    </row>
    <row r="34">
      <c r="A34" s="17">
        <f>Inputs!$A$69</f>
        <v/>
      </c>
      <c r="B34" s="34">
        <f>Inputs!$B$69+Inputs!$C$69/12</f>
        <v/>
      </c>
      <c r="C34" s="34">
        <f>Inputs!$B$69+Inputs!$C$69/12</f>
        <v/>
      </c>
      <c r="D34" s="34">
        <f>Inputs!$B$69+Inputs!$C$69/12</f>
        <v/>
      </c>
      <c r="E34" s="34">
        <f>Inputs!$B$69+Inputs!$C$69/12</f>
        <v/>
      </c>
      <c r="F34" s="34">
        <f>Inputs!$B$69+Inputs!$C$69/12</f>
        <v/>
      </c>
      <c r="G34" s="34">
        <f>Inputs!$B$69+Inputs!$C$69/12</f>
        <v/>
      </c>
      <c r="H34" s="34">
        <f>Inputs!$B$69+Inputs!$C$69/12</f>
        <v/>
      </c>
      <c r="I34" s="34">
        <f>Inputs!$B$69+Inputs!$C$69/12</f>
        <v/>
      </c>
      <c r="J34" s="34">
        <f>Inputs!$B$69+Inputs!$C$69/12</f>
        <v/>
      </c>
      <c r="K34" s="34">
        <f>Inputs!$B$69+Inputs!$C$69/12</f>
        <v/>
      </c>
      <c r="L34" s="34">
        <f>Inputs!$B$69+Inputs!$C$69/12</f>
        <v/>
      </c>
      <c r="M34" s="34">
        <f>Inputs!$B$69+Inputs!$C$69/12</f>
        <v/>
      </c>
      <c r="N34" s="35">
        <f>SUM(B34:M34)</f>
        <v/>
      </c>
    </row>
    <row r="35">
      <c r="A35" s="17">
        <f>Inputs!$A$70</f>
        <v/>
      </c>
      <c r="B35" s="34">
        <f>Inputs!$B$70+Inputs!$C$70/12</f>
        <v/>
      </c>
      <c r="C35" s="34">
        <f>Inputs!$B$70+Inputs!$C$70/12</f>
        <v/>
      </c>
      <c r="D35" s="34">
        <f>Inputs!$B$70+Inputs!$C$70/12</f>
        <v/>
      </c>
      <c r="E35" s="34">
        <f>Inputs!$B$70+Inputs!$C$70/12</f>
        <v/>
      </c>
      <c r="F35" s="34">
        <f>Inputs!$B$70+Inputs!$C$70/12</f>
        <v/>
      </c>
      <c r="G35" s="34">
        <f>Inputs!$B$70+Inputs!$C$70/12</f>
        <v/>
      </c>
      <c r="H35" s="34">
        <f>Inputs!$B$70+Inputs!$C$70/12</f>
        <v/>
      </c>
      <c r="I35" s="34">
        <f>Inputs!$B$70+Inputs!$C$70/12</f>
        <v/>
      </c>
      <c r="J35" s="34">
        <f>Inputs!$B$70+Inputs!$C$70/12</f>
        <v/>
      </c>
      <c r="K35" s="34">
        <f>Inputs!$B$70+Inputs!$C$70/12</f>
        <v/>
      </c>
      <c r="L35" s="34">
        <f>Inputs!$B$70+Inputs!$C$70/12</f>
        <v/>
      </c>
      <c r="M35" s="34">
        <f>Inputs!$B$70+Inputs!$C$70/12</f>
        <v/>
      </c>
      <c r="N35" s="35">
        <f>SUM(B35:M35)</f>
        <v/>
      </c>
    </row>
    <row r="36">
      <c r="A36" s="8" t="inlineStr">
        <is>
          <t>Renewal incentives</t>
        </is>
      </c>
      <c r="B36" s="34">
        <f>B8*Inputs!$B$19</f>
        <v/>
      </c>
      <c r="C36" s="34">
        <f>C8*Inputs!$B$19</f>
        <v/>
      </c>
      <c r="D36" s="34">
        <f>D8*Inputs!$B$19</f>
        <v/>
      </c>
      <c r="E36" s="34">
        <f>E8*Inputs!$B$19</f>
        <v/>
      </c>
      <c r="F36" s="34">
        <f>F8*Inputs!$B$19</f>
        <v/>
      </c>
      <c r="G36" s="34">
        <f>G8*Inputs!$B$19</f>
        <v/>
      </c>
      <c r="H36" s="34">
        <f>H8*Inputs!$B$19</f>
        <v/>
      </c>
      <c r="I36" s="34">
        <f>I8*Inputs!$B$19</f>
        <v/>
      </c>
      <c r="J36" s="34">
        <f>J8*Inputs!$B$19</f>
        <v/>
      </c>
      <c r="K36" s="34">
        <f>K8*Inputs!$B$19</f>
        <v/>
      </c>
      <c r="L36" s="34">
        <f>L8*Inputs!$B$19</f>
        <v/>
      </c>
      <c r="M36" s="34">
        <f>M8*Inputs!$B$19</f>
        <v/>
      </c>
      <c r="N36" s="35">
        <f>SUM(B36:M36)</f>
        <v/>
      </c>
    </row>
    <row r="37">
      <c r="A37" s="5" t="inlineStr">
        <is>
          <t>Fixed &amp; retention subtotal</t>
        </is>
      </c>
      <c r="B37" s="35">
        <f>SUM(B27:B36)</f>
        <v/>
      </c>
      <c r="C37" s="35">
        <f>SUM(C27:C36)</f>
        <v/>
      </c>
      <c r="D37" s="35">
        <f>SUM(D27:D36)</f>
        <v/>
      </c>
      <c r="E37" s="35">
        <f>SUM(E27:E36)</f>
        <v/>
      </c>
      <c r="F37" s="35">
        <f>SUM(F27:F36)</f>
        <v/>
      </c>
      <c r="G37" s="35">
        <f>SUM(G27:G36)</f>
        <v/>
      </c>
      <c r="H37" s="35">
        <f>SUM(H27:H36)</f>
        <v/>
      </c>
      <c r="I37" s="35">
        <f>SUM(I27:I36)</f>
        <v/>
      </c>
      <c r="J37" s="35">
        <f>SUM(J27:J36)</f>
        <v/>
      </c>
      <c r="K37" s="35">
        <f>SUM(K27:K36)</f>
        <v/>
      </c>
      <c r="L37" s="35">
        <f>SUM(L27:L36)</f>
        <v/>
      </c>
      <c r="M37" s="35">
        <f>SUM(M27:M36)</f>
        <v/>
      </c>
      <c r="N37" s="35">
        <f>SUM(B37:M37)</f>
        <v/>
      </c>
    </row>
    <row r="38">
      <c r="A38" s="3" t="inlineStr">
        <is>
          <t>Total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8" t="inlineStr">
        <is>
          <t>Budget before contingency</t>
        </is>
      </c>
      <c r="B39" s="34">
        <f>B25+B37</f>
        <v/>
      </c>
      <c r="C39" s="34">
        <f>C25+C37</f>
        <v/>
      </c>
      <c r="D39" s="34">
        <f>D25+D37</f>
        <v/>
      </c>
      <c r="E39" s="34">
        <f>E25+E37</f>
        <v/>
      </c>
      <c r="F39" s="34">
        <f>F25+F37</f>
        <v/>
      </c>
      <c r="G39" s="34">
        <f>G25+G37</f>
        <v/>
      </c>
      <c r="H39" s="34">
        <f>H25+H37</f>
        <v/>
      </c>
      <c r="I39" s="34">
        <f>I25+I37</f>
        <v/>
      </c>
      <c r="J39" s="34">
        <f>J25+J37</f>
        <v/>
      </c>
      <c r="K39" s="34">
        <f>K25+K37</f>
        <v/>
      </c>
      <c r="L39" s="34">
        <f>L25+L37</f>
        <v/>
      </c>
      <c r="M39" s="34">
        <f>M25+M37</f>
        <v/>
      </c>
      <c r="N39" s="35">
        <f>SUM(B39:M39)</f>
        <v/>
      </c>
    </row>
    <row r="40">
      <c r="A40" s="8" t="inlineStr">
        <is>
          <t>Contingency</t>
        </is>
      </c>
      <c r="B40" s="34">
        <f>B39*Inputs!$B$29</f>
        <v/>
      </c>
      <c r="C40" s="34">
        <f>C39*Inputs!$B$29</f>
        <v/>
      </c>
      <c r="D40" s="34">
        <f>D39*Inputs!$B$29</f>
        <v/>
      </c>
      <c r="E40" s="34">
        <f>E39*Inputs!$B$29</f>
        <v/>
      </c>
      <c r="F40" s="34">
        <f>F39*Inputs!$B$29</f>
        <v/>
      </c>
      <c r="G40" s="34">
        <f>G39*Inputs!$B$29</f>
        <v/>
      </c>
      <c r="H40" s="34">
        <f>H39*Inputs!$B$29</f>
        <v/>
      </c>
      <c r="I40" s="34">
        <f>I39*Inputs!$B$29</f>
        <v/>
      </c>
      <c r="J40" s="34">
        <f>J39*Inputs!$B$29</f>
        <v/>
      </c>
      <c r="K40" s="34">
        <f>K39*Inputs!$B$29</f>
        <v/>
      </c>
      <c r="L40" s="34">
        <f>L39*Inputs!$B$29</f>
        <v/>
      </c>
      <c r="M40" s="34">
        <f>M39*Inputs!$B$29</f>
        <v/>
      </c>
      <c r="N40" s="35">
        <f>SUM(B40:M40)</f>
        <v/>
      </c>
    </row>
    <row r="41">
      <c r="A41" s="20" t="inlineStr">
        <is>
          <t>TOTAL MARKETING BUDGET</t>
        </is>
      </c>
      <c r="B41" s="21">
        <f>B39+B40</f>
        <v/>
      </c>
      <c r="C41" s="21">
        <f>C39+C40</f>
        <v/>
      </c>
      <c r="D41" s="21">
        <f>D39+D40</f>
        <v/>
      </c>
      <c r="E41" s="21">
        <f>E39+E40</f>
        <v/>
      </c>
      <c r="F41" s="21">
        <f>F39+F40</f>
        <v/>
      </c>
      <c r="G41" s="21">
        <f>G39+G40</f>
        <v/>
      </c>
      <c r="H41" s="21">
        <f>H39+H40</f>
        <v/>
      </c>
      <c r="I41" s="21">
        <f>I39+I40</f>
        <v/>
      </c>
      <c r="J41" s="21">
        <f>J39+J40</f>
        <v/>
      </c>
      <c r="K41" s="21">
        <f>K39+K40</f>
        <v/>
      </c>
      <c r="L41" s="21">
        <f>L39+L40</f>
        <v/>
      </c>
      <c r="M41" s="21">
        <f>M39+M40</f>
        <v/>
      </c>
      <c r="N41" s="21">
        <f>SUM(B41:M41)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6" t="inlineStr">
        <is>
          <t>How this model works</t>
        </is>
      </c>
    </row>
    <row r="2">
      <c r="A2" s="37" t="inlineStr">
        <is>
          <t>Lease demand drives the budget: Units × occupancy × % expiring → renewals vs. move-outs → new leases needed → ÷ lead-to-lease rate → leads needed → × cost per lead by channel → + fixed costs → + contingency.</t>
        </is>
      </c>
    </row>
    <row r="3">
      <c r="A3" s="37" t="inlineStr"/>
    </row>
    <row r="4">
      <c r="A4" s="38" t="inlineStr">
        <is>
          <t>Tabs</t>
        </is>
      </c>
    </row>
    <row r="5">
      <c r="A5" s="37" t="inlineStr">
        <is>
          <t>Budget Summary: headline budget, $/unit, cost per lease, vacancy-cost justification, line items vs. 2026.</t>
        </is>
      </c>
    </row>
    <row r="6">
      <c r="A6" s="37" t="inlineStr">
        <is>
          <t>Inputs: the ONLY tab you edit. Property facts, retention, funnel, seasonality, channels, fixed costs.</t>
        </is>
      </c>
    </row>
    <row r="7">
      <c r="A7" s="37" t="inlineStr">
        <is>
          <t>Monthly Plan: month-by-month leases, leads and spend, so you can see the summer peak and pace spend.</t>
        </is>
      </c>
    </row>
    <row r="8">
      <c r="A8" s="37" t="inlineStr"/>
    </row>
    <row r="9">
      <c r="A9" s="38" t="inlineStr">
        <is>
          <t>Color legend</t>
        </is>
      </c>
    </row>
    <row r="10">
      <c r="A10" s="37" t="inlineStr">
        <is>
          <t>Blue text on yellow = input you can change · Black = formula · Green = pulled from another tab.</t>
        </is>
      </c>
    </row>
    <row r="11">
      <c r="A11" s="37" t="inlineStr"/>
    </row>
    <row r="12">
      <c r="A12" s="38" t="inlineStr">
        <is>
          <t>Status of the numbers</t>
        </is>
      </c>
    </row>
    <row r="13">
      <c r="A13" s="37" t="inlineStr">
        <is>
          <t>Units, name, location and type come from the Haven Homes property list. Everything marked PLACEHOLDER is an industry-style starting value; replace with Harrison Landing actuals.</t>
        </is>
      </c>
    </row>
    <row r="14">
      <c r="A14" s="37" t="inlineStr"/>
    </row>
    <row r="15">
      <c r="A15" s="38" t="inlineStr">
        <is>
          <t>Data to pull for Harrison Landing (replace placeholders)</t>
        </is>
      </c>
    </row>
    <row r="16">
      <c r="A16" s="37" t="inlineStr">
        <is>
          <t>1. Rent roll: average rent and current occupancy (PMS).</t>
        </is>
      </c>
    </row>
    <row r="17">
      <c r="A17" s="37" t="inlineStr">
        <is>
          <t>2. Lease expiration report: count of 2027 expirations by month (sets % expiring and seasonality).</t>
        </is>
      </c>
    </row>
    <row r="18">
      <c r="A18" s="37" t="inlineStr">
        <is>
          <t>3. 2025–2026 renewal rate and early terminations / skips.</t>
        </is>
      </c>
    </row>
    <row r="19">
      <c r="A19" s="37" t="inlineStr">
        <is>
          <t>4. CRM funnel report: leads, tours, applications, approvals, leases, ideally by lead source.</t>
        </is>
      </c>
    </row>
    <row r="20">
      <c r="A20" s="37" t="inlineStr">
        <is>
          <t>5. Invoices / contracts: Zillow, Apartments.com, Google, Meta, software; note 2027 renewal pricing.</t>
        </is>
      </c>
    </row>
    <row r="21">
      <c r="A21" s="37" t="inlineStr">
        <is>
          <t>6. Turn report: average days vacant (move-out to move-in).</t>
        </is>
      </c>
    </row>
    <row r="22">
      <c r="A22" s="37" t="inlineStr"/>
    </row>
    <row r="23">
      <c r="A23" s="38" t="inlineStr">
        <is>
          <t>Rolling out to the portfolio</t>
        </is>
      </c>
    </row>
    <row r="24">
      <c r="A24" s="37" t="inlineStr">
        <is>
          <t>Copy this workbook once per property (or duplicate the Inputs tab) and change the Inputs. Prosper 207 is in lease-up and needs a separate lease-up model (absorption pace, not turnover).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2026-10-05T20:26:42Z</dcterms:created>
  <dcterms:modified xsi:type="dcterms:W3CDTF">2026-10-05T20:26:42Z</dcterms:modified>
</cp:coreProperties>
</file>